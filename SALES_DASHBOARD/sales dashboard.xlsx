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iksha\EXCEL_PROJECT\"/>
    </mc:Choice>
  </mc:AlternateContent>
  <xr:revisionPtr revIDLastSave="0" documentId="8_{7F1BE0CE-F1AA-41C7-A661-71A6E1AE63F6}" xr6:coauthVersionLast="47" xr6:coauthVersionMax="47" xr10:uidLastSave="{00000000-0000-0000-0000-000000000000}"/>
  <bookViews>
    <workbookView xWindow="-110" yWindow="-110" windowWidth="19420" windowHeight="10300" firstSheet="3" activeTab="5" xr2:uid="{BE817239-57C5-43D5-8757-AF9FC9780D2A}"/>
  </bookViews>
  <sheets>
    <sheet name="region_wise sales" sheetId="5" r:id="rId1"/>
    <sheet name="sales_dashboard_project" sheetId="1" r:id="rId2"/>
    <sheet name="monthly sales line" sheetId="4" r:id="rId3"/>
    <sheet name="categories_wise_revenue" sheetId="6" r:id="rId4"/>
    <sheet name="top 10 products" sheetId="7" r:id="rId5"/>
    <sheet name="Sheet9" sheetId="9" r:id="rId6"/>
    <sheet name="clean_data" sheetId="2" r:id="rId7"/>
  </sheets>
  <calcPr calcId="191029"/>
  <pivotCaches>
    <pivotCache cacheId="11" r:id="rId8"/>
    <pivotCache cacheId="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</calcChain>
</file>

<file path=xl/sharedStrings.xml><?xml version="1.0" encoding="utf-8"?>
<sst xmlns="http://schemas.openxmlformats.org/spreadsheetml/2006/main" count="350" uniqueCount="35">
  <si>
    <t>Order_ID</t>
  </si>
  <si>
    <t>Date</t>
  </si>
  <si>
    <t>Region</t>
  </si>
  <si>
    <t>Category</t>
  </si>
  <si>
    <t>Product</t>
  </si>
  <si>
    <t>Sales</t>
  </si>
  <si>
    <t>Profit</t>
  </si>
  <si>
    <t>Quantity</t>
  </si>
  <si>
    <t>North</t>
  </si>
  <si>
    <t>Electronics</t>
  </si>
  <si>
    <t>Laptop</t>
  </si>
  <si>
    <t>South</t>
  </si>
  <si>
    <t>Furniture</t>
  </si>
  <si>
    <t>Chair</t>
  </si>
  <si>
    <t>East</t>
  </si>
  <si>
    <t>Clothing</t>
  </si>
  <si>
    <t>Jacket</t>
  </si>
  <si>
    <t>West</t>
  </si>
  <si>
    <t>Mobile</t>
  </si>
  <si>
    <t>Table</t>
  </si>
  <si>
    <t>Shirt</t>
  </si>
  <si>
    <t>Headphones</t>
  </si>
  <si>
    <t>Sofa</t>
  </si>
  <si>
    <t>Jeans</t>
  </si>
  <si>
    <t>Tablet</t>
  </si>
  <si>
    <t>Bed</t>
  </si>
  <si>
    <t>Shoes</t>
  </si>
  <si>
    <t>Month</t>
  </si>
  <si>
    <t>Year</t>
  </si>
  <si>
    <t>profit_margin</t>
  </si>
  <si>
    <t>Row Labels</t>
  </si>
  <si>
    <t>Jan</t>
  </si>
  <si>
    <t>Feb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</si>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</sst>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CEC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23">
    <dxf>
      <numFmt numFmtId="0" formatCode="General"/>
      <alignment horizontal="left" vertical="bottom" textRotation="0" wrapText="0" indent="1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9" formatCode="dd/mm/yyyy"/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9" formatCode="dd/mm/yyyy"/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colors>
    <mruColors>
      <color rgb="FFCCECFF"/>
      <color rgb="FFFFFFFF"/>
      <color rgb="FFCACD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[Book1.xlsx]region_wise sales!PivotTable2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'region_wise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'region_wise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'region_wise sales'!$B$4:$B$8</c:f>
              <c:numCache>
                <c:formatCode>#,##0</c:formatCode>
                <c:ptCount val="4"/>
                <c:pt idx="0">
                  <c:v>181500</c:v>
                </c:pt>
                <c:pt idx="1">
                  <c:v>376100</c:v>
                </c:pt>
                <c:pt idx="2">
                  <c:v>126500</c:v>
                </c:pt>
                <c:pt idx="3">
                  <c:v>294000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3-4DFE-A703-EF9BD6502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5279711"/>
        <c:axId val="1635278271"/>
        <c:axId val="0"/>
      </c:bar3DChart>
      <c:catAx>
        <c:axId val="16352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78271"/>
        <c:crosses val="autoZero"/>
        <c:auto val="1"/>
        <c:lblAlgn val="ctr"/>
        <c:lblOffset val="100"/>
        <c:noMultiLvlLbl val="0"/>
      </c:catAx>
      <c:valAx>
        <c:axId val="163527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7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[Book1.xlsx]monthly sales line!PivotTable1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MONTHLY</a:t>
            </a:r>
            <a:r>
              <a:rPr lang="en-US" b="1" baseline="0">
                <a:solidFill>
                  <a:srgbClr val="002060"/>
                </a:solidFill>
              </a:rPr>
              <a:t> SALES TREND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line'!$B$3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line'!$A$4:$A$6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'monthly sales line'!$B$4:$B$6</c:f>
              <c:numCache>
                <c:formatCode>#,##0.00</c:formatCode>
                <c:ptCount val="2"/>
                <c:pt idx="0">
                  <c:v>560600</c:v>
                </c:pt>
                <c:pt idx="1">
                  <c:v>417500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1-4623-A35C-2FE06A50F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797919"/>
        <c:axId val="1451798399"/>
      </c:lineChart>
      <c:catAx>
        <c:axId val="14517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98399"/>
        <c:crosses val="autoZero"/>
        <c:auto val="1"/>
        <c:lblAlgn val="ctr"/>
        <c:lblOffset val="100"/>
        <c:noMultiLvlLbl val="0"/>
      </c:catAx>
      <c:valAx>
        <c:axId val="14517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9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[Book1.xlsx]categories_wise_revenue!PivotTable3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categories_wise_revenue!$B$3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categories_wise_revenue!$A$4:$A$7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categories_wise_revenue!$B$4:$B$7</c:f>
              <c:numCache>
                <c:formatCode>#,##0</c:formatCode>
                <c:ptCount val="3"/>
                <c:pt idx="0">
                  <c:v>54500</c:v>
                </c:pt>
                <c:pt idx="1">
                  <c:v>503200</c:v>
                </c:pt>
                <c:pt idx="2">
                  <c:v>420400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2-4C9E-938F-7A41C986E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[Book1.xlsx]top 10 products!PivotTable4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Jacket</c:v>
                </c:pt>
                <c:pt idx="4">
                  <c:v>Laptop</c:v>
                </c:pt>
                <c:pt idx="5">
                  <c:v>Mobile</c:v>
                </c:pt>
                <c:pt idx="6">
                  <c:v>Shoes</c:v>
                </c:pt>
                <c:pt idx="7">
                  <c:v>Sofa</c:v>
                </c:pt>
                <c:pt idx="8">
                  <c:v>Table</c:v>
                </c:pt>
                <c:pt idx="9">
                  <c:v>Tablet</c:v>
                </c:pt>
              </c:strCache>
            </c:strRef>
          </c:cat>
          <c:val>
            <c:numRef>
              <c:f>'top 10 products'!$B$4:$B$14</c:f>
              <c:numCache>
                <c:formatCode>#,##0</c:formatCode>
                <c:ptCount val="10"/>
                <c:pt idx="0">
                  <c:v>146000</c:v>
                </c:pt>
                <c:pt idx="1">
                  <c:v>39900</c:v>
                </c:pt>
                <c:pt idx="2">
                  <c:v>21200</c:v>
                </c:pt>
                <c:pt idx="3">
                  <c:v>14300</c:v>
                </c:pt>
                <c:pt idx="4">
                  <c:v>298000</c:v>
                </c:pt>
                <c:pt idx="5">
                  <c:v>106000</c:v>
                </c:pt>
                <c:pt idx="6">
                  <c:v>19000</c:v>
                </c:pt>
                <c:pt idx="7">
                  <c:v>169000</c:v>
                </c:pt>
                <c:pt idx="8">
                  <c:v>65500</c:v>
                </c:pt>
                <c:pt idx="9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5-4F31-B369-07576A332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434127"/>
        <c:axId val="1437434607"/>
      </c:barChart>
      <c:catAx>
        <c:axId val="143743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34607"/>
        <c:crosses val="autoZero"/>
        <c:auto val="1"/>
        <c:lblAlgn val="ctr"/>
        <c:lblOffset val="100"/>
        <c:noMultiLvlLbl val="0"/>
      </c:catAx>
      <c:valAx>
        <c:axId val="14374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3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[Book1.xlsx]monthly sales line!PivotTable1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MONTHLY</a:t>
            </a:r>
            <a:r>
              <a:rPr lang="en-US" b="1" baseline="0">
                <a:solidFill>
                  <a:srgbClr val="002060"/>
                </a:solidFill>
              </a:rPr>
              <a:t> SALES TREND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line'!$B$3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line'!$A$4:$A$6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'monthly sales line'!$B$4:$B$6</c:f>
              <c:numCache>
                <c:formatCode>#,##0.00</c:formatCode>
                <c:ptCount val="2"/>
                <c:pt idx="0">
                  <c:v>560600</c:v>
                </c:pt>
                <c:pt idx="1">
                  <c:v>417500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7-42F5-B397-39653D47A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797919"/>
        <c:axId val="1451798399"/>
      </c:lineChart>
      <c:catAx>
        <c:axId val="14517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98399"/>
        <c:crosses val="autoZero"/>
        <c:auto val="1"/>
        <c:lblAlgn val="ctr"/>
        <c:lblOffset val="100"/>
        <c:noMultiLvlLbl val="0"/>
      </c:catAx>
      <c:valAx>
        <c:axId val="14517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97919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/>
        </a:gs>
        <a:gs pos="65000">
          <a:schemeClr val="accent1">
            <a:lumMod val="40000"/>
            <a:lumOff val="60000"/>
          </a:schemeClr>
        </a:gs>
        <a:gs pos="100000">
          <a:srgbClr val="CCECFF"/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[Book1.xlsx]top 10 products!PivotTable4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415900581476573E-2"/>
          <c:y val="8.1821916417987778E-2"/>
          <c:w val="0.80075169672807789"/>
          <c:h val="0.5571203850455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Jacket</c:v>
                </c:pt>
                <c:pt idx="4">
                  <c:v>Laptop</c:v>
                </c:pt>
                <c:pt idx="5">
                  <c:v>Mobile</c:v>
                </c:pt>
                <c:pt idx="6">
                  <c:v>Shoes</c:v>
                </c:pt>
                <c:pt idx="7">
                  <c:v>Sofa</c:v>
                </c:pt>
                <c:pt idx="8">
                  <c:v>Table</c:v>
                </c:pt>
                <c:pt idx="9">
                  <c:v>Tablet</c:v>
                </c:pt>
              </c:strCache>
            </c:strRef>
          </c:cat>
          <c:val>
            <c:numRef>
              <c:f>'top 10 products'!$B$4:$B$14</c:f>
              <c:numCache>
                <c:formatCode>#,##0</c:formatCode>
                <c:ptCount val="10"/>
                <c:pt idx="0">
                  <c:v>146000</c:v>
                </c:pt>
                <c:pt idx="1">
                  <c:v>39900</c:v>
                </c:pt>
                <c:pt idx="2">
                  <c:v>21200</c:v>
                </c:pt>
                <c:pt idx="3">
                  <c:v>14300</c:v>
                </c:pt>
                <c:pt idx="4">
                  <c:v>298000</c:v>
                </c:pt>
                <c:pt idx="5">
                  <c:v>106000</c:v>
                </c:pt>
                <c:pt idx="6">
                  <c:v>19000</c:v>
                </c:pt>
                <c:pt idx="7">
                  <c:v>169000</c:v>
                </c:pt>
                <c:pt idx="8">
                  <c:v>65500</c:v>
                </c:pt>
                <c:pt idx="9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B-4D98-942F-F75C2B905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434127"/>
        <c:axId val="1437434607"/>
      </c:barChart>
      <c:catAx>
        <c:axId val="143743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34607"/>
        <c:crosses val="autoZero"/>
        <c:auto val="1"/>
        <c:lblAlgn val="ctr"/>
        <c:lblOffset val="100"/>
        <c:noMultiLvlLbl val="0"/>
      </c:catAx>
      <c:valAx>
        <c:axId val="14374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3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[Book1.xlsx]categories_wise_revenue!PivotTable3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702706688370097E-2"/>
          <c:y val="0.14827932877074296"/>
          <c:w val="0.83660055763488828"/>
          <c:h val="0.7940711012955266"/>
        </c:manualLayout>
      </c:layout>
      <c:pie3DChart>
        <c:varyColors val="1"/>
        <c:ser>
          <c:idx val="0"/>
          <c:order val="0"/>
          <c:tx>
            <c:strRef>
              <c:f>categories_wise_revenue!$B$3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34-4D22-8A55-31EB455CC6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34-4D22-8A55-31EB455CC6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34-4D22-8A55-31EB455CC6D5}"/>
              </c:ext>
            </c:extLst>
          </c:dPt>
          <c:cat>
            <c:strRef>
              <c:f>categories_wise_revenue!$A$4:$A$7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categories_wise_revenue!$B$4:$B$7</c:f>
              <c:numCache>
                <c:formatCode>#,##0</c:formatCode>
                <c:ptCount val="3"/>
                <c:pt idx="0">
                  <c:v>54500</c:v>
                </c:pt>
                <c:pt idx="1">
                  <c:v>503200</c:v>
                </c:pt>
                <c:pt idx="2">
                  <c:v>420400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34-4D22-8A55-31EB455CC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[Book1.xlsx]region_wise sales!PivotTable2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'region_wise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'region_wise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'region_wise sales'!$B$4:$B$8</c:f>
              <c:numCache>
                <c:formatCode>#,##0</c:formatCode>
                <c:ptCount val="4"/>
                <c:pt idx="0">
                  <c:v>181500</c:v>
                </c:pt>
                <c:pt idx="1">
                  <c:v>376100</c:v>
                </c:pt>
                <c:pt idx="2">
                  <c:v>126500</c:v>
                </c:pt>
                <c:pt idx="3">
                  <c:v>294000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F-49E7-8DF8-3B9ED471D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5279711"/>
        <c:axId val="1635278271"/>
        <c:axId val="0"/>
      </c:bar3DChart>
      <c:catAx>
        <c:axId val="16352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78271"/>
        <c:crosses val="autoZero"/>
        <c:auto val="1"/>
        <c:lblAlgn val="ctr"/>
        <c:lblOffset val="100"/>
        <c:noMultiLvlLbl val="0"/>
      </c:catAx>
      <c:valAx>
        <c:axId val="163527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7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155575</xdr:rowOff>
    </xdr:from>
    <xdr:to>
      <xdr:col>10</xdr:col>
      <xdr:colOff>311150</xdr:colOff>
      <xdr:row>16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DBB88-25B1-554D-C1E6-5E8F562C9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34925</xdr:rowOff>
    </xdr:from>
    <xdr:to>
      <xdr:col>10</xdr:col>
      <xdr:colOff>298450</xdr:colOff>
      <xdr:row>17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C2D08-6BEB-5079-CA73-6F932CDAD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34925</xdr:rowOff>
    </xdr:from>
    <xdr:to>
      <xdr:col>10</xdr:col>
      <xdr:colOff>304800</xdr:colOff>
      <xdr:row>17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D8F2F-5493-A5E9-AD42-C55EC23ED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180975</xdr:rowOff>
    </xdr:from>
    <xdr:to>
      <xdr:col>10</xdr:col>
      <xdr:colOff>311150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E0629-AAAA-CF39-2E70-EEFB57544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546100</xdr:colOff>
      <xdr:row>2</xdr:row>
      <xdr:rowOff>12700</xdr:rowOff>
    </xdr:from>
    <xdr:to>
      <xdr:col>4</xdr:col>
      <xdr:colOff>411408</xdr:colOff>
      <xdr:row>6</xdr:row>
      <xdr:rowOff>143099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8A5043F3-C39C-DE97-04DC-A271A41AB5C6}"/>
            </a:ext>
          </a:extLst>
        </xdr:cNvPr>
        <xdr:cNvSpPr/>
      </xdr:nvSpPr>
      <xdr:spPr>
        <a:xfrm>
          <a:off x="546100" y="388334"/>
          <a:ext cx="2888266" cy="881666"/>
        </a:xfrm>
        <a:prstGeom prst="round2DiagRect">
          <a:avLst/>
        </a:prstGeom>
        <a:solidFill>
          <a:srgbClr val="CCECFF">
            <a:alpha val="69020"/>
          </a:srgbClr>
        </a:solidFill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070C0"/>
              </a:solidFill>
              <a:latin typeface="Arial Black" panose="020B0A04020102020204" pitchFamily="34" charset="0"/>
            </a:rPr>
            <a:t>TOTAL REVENUE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lang="en-I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800" b="1" i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1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9,78,100</a:t>
          </a:r>
          <a:r>
            <a:rPr lang="en-IN" sz="1800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8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IN" sz="1800" b="1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endParaRPr lang="en-IN" sz="1800" b="1">
            <a:solidFill>
              <a:schemeClr val="accent1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244341</xdr:colOff>
      <xdr:row>1</xdr:row>
      <xdr:rowOff>186743</xdr:rowOff>
    </xdr:from>
    <xdr:to>
      <xdr:col>10</xdr:col>
      <xdr:colOff>482958</xdr:colOff>
      <xdr:row>6</xdr:row>
      <xdr:rowOff>134155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A6E45541-A38C-3FC1-2D59-68E816F91BA5}"/>
            </a:ext>
          </a:extLst>
        </xdr:cNvPr>
        <xdr:cNvSpPr/>
      </xdr:nvSpPr>
      <xdr:spPr>
        <a:xfrm>
          <a:off x="3875468" y="374560"/>
          <a:ext cx="3279462" cy="886496"/>
        </a:xfrm>
        <a:prstGeom prst="round2DiagRect">
          <a:avLst/>
        </a:prstGeom>
        <a:solidFill>
          <a:srgbClr val="CCECFF"/>
        </a:solidFill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070C0"/>
              </a:solidFill>
              <a:latin typeface="Arial Black" panose="020B0A04020102020204" pitchFamily="34" charset="0"/>
            </a:rPr>
            <a:t>TOTAL</a:t>
          </a:r>
          <a:r>
            <a:rPr lang="en-IN" sz="1100" b="1" baseline="0">
              <a:solidFill>
                <a:srgbClr val="0070C0"/>
              </a:solidFill>
              <a:latin typeface="Arial Black" panose="020B0A04020102020204" pitchFamily="34" charset="0"/>
            </a:rPr>
            <a:t> PROFIT</a:t>
          </a:r>
        </a:p>
        <a:p>
          <a:pPr algn="l"/>
          <a:r>
            <a:rPr lang="en-IN" sz="14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8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₹ 66,194</a:t>
          </a:r>
          <a:r>
            <a:rPr lang="en-IN" sz="1800" b="1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endParaRPr lang="en-IN" sz="1800" b="1">
            <a:solidFill>
              <a:schemeClr val="accent1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406222</xdr:colOff>
      <xdr:row>2</xdr:row>
      <xdr:rowOff>39530</xdr:rowOff>
    </xdr:from>
    <xdr:to>
      <xdr:col>16</xdr:col>
      <xdr:colOff>545563</xdr:colOff>
      <xdr:row>6</xdr:row>
      <xdr:rowOff>80493</xdr:rowOff>
    </xdr:to>
    <xdr:sp macro="" textlink="">
      <xdr:nvSpPr>
        <xdr:cNvPr id="5" name="Rectangle: Diagonal Corners Rounded 4">
          <a:extLst>
            <a:ext uri="{FF2B5EF4-FFF2-40B4-BE49-F238E27FC236}">
              <a16:creationId xmlns:a16="http://schemas.microsoft.com/office/drawing/2014/main" id="{1B6B73F3-E0ED-2256-2E9A-7CE3072C33FD}"/>
            </a:ext>
          </a:extLst>
        </xdr:cNvPr>
        <xdr:cNvSpPr/>
      </xdr:nvSpPr>
      <xdr:spPr>
        <a:xfrm>
          <a:off x="7686363" y="415164"/>
          <a:ext cx="3180186" cy="792230"/>
        </a:xfrm>
        <a:prstGeom prst="round2DiagRect">
          <a:avLst/>
        </a:prstGeom>
        <a:solidFill>
          <a:srgbClr val="CCECFF"/>
        </a:solidFill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070C0"/>
              </a:solidFill>
              <a:latin typeface="Arial Black" panose="020B0A04020102020204" pitchFamily="34" charset="0"/>
            </a:rPr>
            <a:t>TOTAL ORDERS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IN">
              <a:effectLst/>
            </a:rPr>
            <a:t> </a:t>
          </a:r>
          <a:r>
            <a:rPr lang="en-IN" sz="1800" b="1">
              <a:solidFill>
                <a:srgbClr val="0070C0"/>
              </a:solidFill>
              <a:effectLst/>
              <a:latin typeface="Arial Black" panose="020B0A04020102020204" pitchFamily="34" charset="0"/>
            </a:rPr>
            <a:t>50</a:t>
          </a:r>
          <a:endParaRPr lang="en-IN" sz="1800" b="1">
            <a:solidFill>
              <a:srgbClr val="0070C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18</xdr:col>
      <xdr:colOff>254446</xdr:colOff>
      <xdr:row>2</xdr:row>
      <xdr:rowOff>39531</xdr:rowOff>
    </xdr:from>
    <xdr:to>
      <xdr:col>22</xdr:col>
      <xdr:colOff>572393</xdr:colOff>
      <xdr:row>5</xdr:row>
      <xdr:rowOff>185581</xdr:rowOff>
    </xdr:to>
    <xdr:sp macro="" textlink="">
      <xdr:nvSpPr>
        <xdr:cNvPr id="6" name="Rectangle: Diagonal Corners Rounded 5">
          <a:extLst>
            <a:ext uri="{FF2B5EF4-FFF2-40B4-BE49-F238E27FC236}">
              <a16:creationId xmlns:a16="http://schemas.microsoft.com/office/drawing/2014/main" id="{E58A6B03-904C-91BD-0BB0-4C14A3EBD666}"/>
            </a:ext>
          </a:extLst>
        </xdr:cNvPr>
        <xdr:cNvSpPr/>
      </xdr:nvSpPr>
      <xdr:spPr>
        <a:xfrm>
          <a:off x="11791770" y="415165"/>
          <a:ext cx="2750623" cy="709501"/>
        </a:xfrm>
        <a:prstGeom prst="round2DiagRect">
          <a:avLst/>
        </a:prstGeom>
        <a:solidFill>
          <a:srgbClr val="CCECFF"/>
        </a:solidFill>
        <a:ln w="19050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070C0"/>
              </a:solidFill>
              <a:latin typeface="Arial Black" panose="020B0A04020102020204" pitchFamily="34" charset="0"/>
            </a:rPr>
            <a:t>AVERAGE ORDER</a:t>
          </a:r>
          <a:r>
            <a:rPr lang="en-IN" sz="1100" b="1" baseline="0">
              <a:solidFill>
                <a:srgbClr val="0070C0"/>
              </a:solidFill>
              <a:latin typeface="Arial Black" panose="020B0A04020102020204" pitchFamily="34" charset="0"/>
            </a:rPr>
            <a:t> </a:t>
          </a:r>
          <a:r>
            <a:rPr lang="en-IN" sz="1100" b="1">
              <a:solidFill>
                <a:srgbClr val="0070C0"/>
              </a:solidFill>
              <a:latin typeface="Arial Black" panose="020B0A04020102020204" pitchFamily="34" charset="0"/>
            </a:rPr>
            <a:t>VALUE</a:t>
          </a:r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8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₹ 19,280</a:t>
          </a:r>
          <a:r>
            <a:rPr lang="en-IN" sz="1800" b="1">
              <a:solidFill>
                <a:schemeClr val="accent1">
                  <a:lumMod val="75000"/>
                </a:schemeClr>
              </a:solidFill>
              <a:effectLst/>
            </a:rPr>
            <a:t> </a:t>
          </a:r>
          <a:r>
            <a:rPr lang="en-IN" sz="1800" b="1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0</xdr:col>
      <xdr:colOff>457200</xdr:colOff>
      <xdr:row>7</xdr:row>
      <xdr:rowOff>12700</xdr:rowOff>
    </xdr:from>
    <xdr:to>
      <xdr:col>11</xdr:col>
      <xdr:colOff>26831</xdr:colOff>
      <xdr:row>29</xdr:row>
      <xdr:rowOff>26831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14ABC2-9397-420F-B807-DE1FEC7C8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439402</xdr:colOff>
      <xdr:row>7</xdr:row>
      <xdr:rowOff>35775</xdr:rowOff>
    </xdr:from>
    <xdr:to>
      <xdr:col>24</xdr:col>
      <xdr:colOff>98380</xdr:colOff>
      <xdr:row>28</xdr:row>
      <xdr:rowOff>62606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FC8AB5-4F41-4614-8F88-60D81A16D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259366</xdr:colOff>
      <xdr:row>31</xdr:row>
      <xdr:rowOff>169928</xdr:rowOff>
    </xdr:from>
    <xdr:to>
      <xdr:col>24</xdr:col>
      <xdr:colOff>187816</xdr:colOff>
      <xdr:row>54</xdr:row>
      <xdr:rowOff>35773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A39E10-176D-4334-B78F-81545145E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643945</xdr:colOff>
      <xdr:row>32</xdr:row>
      <xdr:rowOff>107324</xdr:rowOff>
    </xdr:from>
    <xdr:to>
      <xdr:col>12</xdr:col>
      <xdr:colOff>420353</xdr:colOff>
      <xdr:row>58</xdr:row>
      <xdr:rowOff>62606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B34300-2295-4450-9DBD-77709563B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kumar rana" refreshedDate="46083.81070613426" createdVersion="8" refreshedVersion="8" minRefreshableVersion="3" recordCount="50" xr:uid="{69012B10-7516-43A3-838F-39F89EBB9B66}">
  <cacheSource type="worksheet">
    <worksheetSource name="Table13"/>
  </cacheSource>
  <cacheFields count="11">
    <cacheField name="Order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5-01-01T00:00:00" maxDate="2025-02-20T00:00:00"/>
    </cacheField>
    <cacheField name="Region" numFmtId="0">
      <sharedItems/>
    </cacheField>
    <cacheField name="Category" numFmtId="0">
      <sharedItems count="3">
        <s v="Electronics"/>
        <s v="Furniture"/>
        <s v="Clothing"/>
      </sharedItems>
    </cacheField>
    <cacheField name="Product" numFmtId="0">
      <sharedItems count="12">
        <s v="Laptop"/>
        <s v="Chair"/>
        <s v="Jacket"/>
        <s v="Mobile"/>
        <s v="Table"/>
        <s v="Shirt"/>
        <s v="Headphones"/>
        <s v="Sofa"/>
        <s v="Jeans"/>
        <s v="Tablet"/>
        <s v="Bed"/>
        <s v="Shoes"/>
      </sharedItems>
    </cacheField>
    <cacheField name="Sales" numFmtId="0">
      <sharedItems containsSemiMixedTypes="0" containsString="0" containsNumber="1" containsInteger="1" minValue="2000" maxValue="63000"/>
    </cacheField>
    <cacheField name="Profit" numFmtId="0">
      <sharedItems containsSemiMixedTypes="0" containsString="0" containsNumber="1" containsInteger="1" minValue="300" maxValue="9800"/>
    </cacheField>
    <cacheField name="Quantity" numFmtId="0">
      <sharedItems containsSemiMixedTypes="0" containsString="0" containsNumber="1" containsInteger="1" minValue="1" maxValue="7"/>
    </cacheField>
    <cacheField name="Month" numFmtId="0">
      <sharedItems count="2">
        <s v="Jan"/>
        <s v="Feb"/>
      </sharedItems>
    </cacheField>
    <cacheField name="Year" numFmtId="0">
      <sharedItems containsSemiMixedTypes="0" containsString="0" containsNumber="1" containsInteger="1" minValue="2025" maxValue="2025"/>
    </cacheField>
    <cacheField name="profit_margin" numFmtId="0">
      <sharedItems containsSemiMixedTypes="0" containsString="0" containsNumber="1" minValue="0.14666666666666667" maxValue="0.196969696969696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kumar rana" refreshedDate="46083.817219791665" createdVersion="8" refreshedVersion="8" minRefreshableVersion="3" recordCount="50" xr:uid="{89E124BF-F2A7-4053-8188-75016AFD25F3}">
  <cacheSource type="worksheet">
    <worksheetSource name="Table1"/>
  </cacheSource>
  <cacheFields count="8">
    <cacheField name="Order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5-01-01T00:00:00" maxDate="2025-02-20T00:00:00"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2000" maxValue="63000"/>
    </cacheField>
    <cacheField name="Profit" numFmtId="0">
      <sharedItems containsSemiMixedTypes="0" containsString="0" containsNumber="1" containsInteger="1" minValue="300" maxValue="9800"/>
    </cacheField>
    <cacheField name="Quantit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5-01-01T00:00:00"/>
    <s v="North"/>
    <x v="0"/>
    <x v="0"/>
    <n v="55000"/>
    <n v="8500"/>
    <n v="2"/>
    <x v="0"/>
    <n v="2025"/>
    <n v="0.15454545454545454"/>
  </r>
  <r>
    <n v="1002"/>
    <d v="2025-01-02T00:00:00"/>
    <s v="South"/>
    <x v="1"/>
    <x v="1"/>
    <n v="8000"/>
    <n v="1200"/>
    <n v="4"/>
    <x v="0"/>
    <n v="2025"/>
    <n v="0.15"/>
  </r>
  <r>
    <n v="1003"/>
    <d v="2025-01-03T00:00:00"/>
    <s v="East"/>
    <x v="2"/>
    <x v="2"/>
    <n v="3500"/>
    <n v="600"/>
    <n v="3"/>
    <x v="0"/>
    <n v="2025"/>
    <n v="0.17142857142857143"/>
  </r>
  <r>
    <n v="1004"/>
    <d v="2025-01-04T00:00:00"/>
    <s v="West"/>
    <x v="0"/>
    <x v="3"/>
    <n v="25000"/>
    <n v="4000"/>
    <n v="5"/>
    <x v="0"/>
    <n v="2025"/>
    <n v="0.16"/>
  </r>
  <r>
    <n v="1005"/>
    <d v="2025-01-05T00:00:00"/>
    <s v="North"/>
    <x v="1"/>
    <x v="4"/>
    <n v="15000"/>
    <n v="2500"/>
    <n v="2"/>
    <x v="0"/>
    <n v="2025"/>
    <n v="0.16666666666666666"/>
  </r>
  <r>
    <n v="1006"/>
    <d v="2025-01-06T00:00:00"/>
    <s v="South"/>
    <x v="2"/>
    <x v="5"/>
    <n v="2000"/>
    <n v="300"/>
    <n v="6"/>
    <x v="0"/>
    <n v="2025"/>
    <n v="0.15"/>
  </r>
  <r>
    <n v="1007"/>
    <d v="2025-01-07T00:00:00"/>
    <s v="East"/>
    <x v="0"/>
    <x v="6"/>
    <n v="5000"/>
    <n v="900"/>
    <n v="4"/>
    <x v="0"/>
    <n v="2025"/>
    <n v="0.18"/>
  </r>
  <r>
    <n v="1008"/>
    <d v="2025-01-08T00:00:00"/>
    <s v="West"/>
    <x v="1"/>
    <x v="7"/>
    <n v="40000"/>
    <n v="7000"/>
    <n v="1"/>
    <x v="0"/>
    <n v="2025"/>
    <n v="0.17499999999999999"/>
  </r>
  <r>
    <n v="1009"/>
    <d v="2025-01-09T00:00:00"/>
    <s v="North"/>
    <x v="2"/>
    <x v="8"/>
    <n v="3000"/>
    <n v="500"/>
    <n v="3"/>
    <x v="0"/>
    <n v="2025"/>
    <n v="0.16666666666666666"/>
  </r>
  <r>
    <n v="1010"/>
    <d v="2025-01-10T00:00:00"/>
    <s v="South"/>
    <x v="0"/>
    <x v="9"/>
    <n v="18000"/>
    <n v="3000"/>
    <n v="2"/>
    <x v="0"/>
    <n v="2025"/>
    <n v="0.16666666666666666"/>
  </r>
  <r>
    <n v="1011"/>
    <d v="2025-01-11T00:00:00"/>
    <s v="East"/>
    <x v="1"/>
    <x v="10"/>
    <n v="35000"/>
    <n v="6000"/>
    <n v="1"/>
    <x v="0"/>
    <n v="2025"/>
    <n v="0.17142857142857143"/>
  </r>
  <r>
    <n v="1012"/>
    <d v="2025-01-12T00:00:00"/>
    <s v="West"/>
    <x v="2"/>
    <x v="11"/>
    <n v="4500"/>
    <n v="800"/>
    <n v="4"/>
    <x v="0"/>
    <n v="2025"/>
    <n v="0.17777777777777778"/>
  </r>
  <r>
    <n v="1013"/>
    <d v="2025-01-13T00:00:00"/>
    <s v="North"/>
    <x v="0"/>
    <x v="0"/>
    <n v="60000"/>
    <n v="9000"/>
    <n v="2"/>
    <x v="0"/>
    <n v="2025"/>
    <n v="0.15"/>
  </r>
  <r>
    <n v="1014"/>
    <d v="2025-01-14T00:00:00"/>
    <s v="South"/>
    <x v="1"/>
    <x v="1"/>
    <n v="7500"/>
    <n v="1100"/>
    <n v="5"/>
    <x v="0"/>
    <n v="2025"/>
    <n v="0.14666666666666667"/>
  </r>
  <r>
    <n v="1015"/>
    <d v="2025-01-15T00:00:00"/>
    <s v="East"/>
    <x v="2"/>
    <x v="2"/>
    <n v="3800"/>
    <n v="650"/>
    <n v="2"/>
    <x v="0"/>
    <n v="2025"/>
    <n v="0.17105263157894737"/>
  </r>
  <r>
    <n v="1016"/>
    <d v="2025-01-16T00:00:00"/>
    <s v="West"/>
    <x v="0"/>
    <x v="3"/>
    <n v="27000"/>
    <n v="4200"/>
    <n v="4"/>
    <x v="0"/>
    <n v="2025"/>
    <n v="0.15555555555555556"/>
  </r>
  <r>
    <n v="1017"/>
    <d v="2025-01-17T00:00:00"/>
    <s v="North"/>
    <x v="1"/>
    <x v="4"/>
    <n v="16000"/>
    <n v="2600"/>
    <n v="2"/>
    <x v="0"/>
    <n v="2025"/>
    <n v="0.16250000000000001"/>
  </r>
  <r>
    <n v="1018"/>
    <d v="2025-01-18T00:00:00"/>
    <s v="South"/>
    <x v="2"/>
    <x v="5"/>
    <n v="2200"/>
    <n v="350"/>
    <n v="7"/>
    <x v="0"/>
    <n v="2025"/>
    <n v="0.15909090909090909"/>
  </r>
  <r>
    <n v="1019"/>
    <d v="2025-01-19T00:00:00"/>
    <s v="East"/>
    <x v="0"/>
    <x v="6"/>
    <n v="5200"/>
    <n v="950"/>
    <n v="3"/>
    <x v="0"/>
    <n v="2025"/>
    <n v="0.18269230769230768"/>
  </r>
  <r>
    <n v="1020"/>
    <d v="2025-01-20T00:00:00"/>
    <s v="West"/>
    <x v="1"/>
    <x v="7"/>
    <n v="42000"/>
    <n v="7200"/>
    <n v="1"/>
    <x v="0"/>
    <n v="2025"/>
    <n v="0.17142857142857143"/>
  </r>
  <r>
    <n v="1021"/>
    <d v="2025-01-21T00:00:00"/>
    <s v="North"/>
    <x v="2"/>
    <x v="8"/>
    <n v="3100"/>
    <n v="550"/>
    <n v="4"/>
    <x v="0"/>
    <n v="2025"/>
    <n v="0.17741935483870969"/>
  </r>
  <r>
    <n v="1022"/>
    <d v="2025-01-22T00:00:00"/>
    <s v="South"/>
    <x v="0"/>
    <x v="9"/>
    <n v="19000"/>
    <n v="3200"/>
    <n v="3"/>
    <x v="0"/>
    <n v="2025"/>
    <n v="0.16842105263157894"/>
  </r>
  <r>
    <n v="1023"/>
    <d v="2025-01-23T00:00:00"/>
    <s v="East"/>
    <x v="1"/>
    <x v="10"/>
    <n v="36000"/>
    <n v="6100"/>
    <n v="1"/>
    <x v="0"/>
    <n v="2025"/>
    <n v="0.16944444444444445"/>
  </r>
  <r>
    <n v="1024"/>
    <d v="2025-01-24T00:00:00"/>
    <s v="West"/>
    <x v="2"/>
    <x v="11"/>
    <n v="4700"/>
    <n v="850"/>
    <n v="5"/>
    <x v="0"/>
    <n v="2025"/>
    <n v="0.18085106382978725"/>
  </r>
  <r>
    <n v="1025"/>
    <d v="2025-01-25T00:00:00"/>
    <s v="North"/>
    <x v="0"/>
    <x v="0"/>
    <n v="58000"/>
    <n v="8800"/>
    <n v="2"/>
    <x v="0"/>
    <n v="2025"/>
    <n v="0.15172413793103448"/>
  </r>
  <r>
    <n v="1026"/>
    <d v="2025-01-26T00:00:00"/>
    <s v="South"/>
    <x v="1"/>
    <x v="1"/>
    <n v="8200"/>
    <n v="1300"/>
    <n v="4"/>
    <x v="0"/>
    <n v="2025"/>
    <n v="0.15853658536585366"/>
  </r>
  <r>
    <n v="1027"/>
    <d v="2025-01-27T00:00:00"/>
    <s v="East"/>
    <x v="2"/>
    <x v="2"/>
    <n v="3400"/>
    <n v="580"/>
    <n v="3"/>
    <x v="0"/>
    <n v="2025"/>
    <n v="0.17058823529411765"/>
  </r>
  <r>
    <n v="1028"/>
    <d v="2025-01-28T00:00:00"/>
    <s v="West"/>
    <x v="0"/>
    <x v="3"/>
    <n v="26000"/>
    <n v="4100"/>
    <n v="5"/>
    <x v="0"/>
    <n v="2025"/>
    <n v="0.15769230769230769"/>
  </r>
  <r>
    <n v="1029"/>
    <d v="2025-01-29T00:00:00"/>
    <s v="North"/>
    <x v="1"/>
    <x v="4"/>
    <n v="17000"/>
    <n v="2700"/>
    <n v="2"/>
    <x v="0"/>
    <n v="2025"/>
    <n v="0.1588235294117647"/>
  </r>
  <r>
    <n v="1030"/>
    <d v="2025-01-30T00:00:00"/>
    <s v="South"/>
    <x v="2"/>
    <x v="5"/>
    <n v="2100"/>
    <n v="320"/>
    <n v="6"/>
    <x v="0"/>
    <n v="2025"/>
    <n v="0.15238095238095239"/>
  </r>
  <r>
    <n v="1031"/>
    <d v="2025-01-31T00:00:00"/>
    <s v="East"/>
    <x v="0"/>
    <x v="6"/>
    <n v="5400"/>
    <n v="1000"/>
    <n v="4"/>
    <x v="0"/>
    <n v="2025"/>
    <n v="0.18518518518518517"/>
  </r>
  <r>
    <n v="1032"/>
    <d v="2025-02-01T00:00:00"/>
    <s v="West"/>
    <x v="1"/>
    <x v="7"/>
    <n v="43000"/>
    <n v="7500"/>
    <n v="1"/>
    <x v="1"/>
    <n v="2025"/>
    <n v="0.1744186046511628"/>
  </r>
  <r>
    <n v="1033"/>
    <d v="2025-02-02T00:00:00"/>
    <s v="North"/>
    <x v="2"/>
    <x v="8"/>
    <n v="3200"/>
    <n v="600"/>
    <n v="3"/>
    <x v="1"/>
    <n v="2025"/>
    <n v="0.1875"/>
  </r>
  <r>
    <n v="1034"/>
    <d v="2025-02-03T00:00:00"/>
    <s v="South"/>
    <x v="0"/>
    <x v="9"/>
    <n v="20000"/>
    <n v="3400"/>
    <n v="2"/>
    <x v="1"/>
    <n v="2025"/>
    <n v="0.17"/>
  </r>
  <r>
    <n v="1035"/>
    <d v="2025-02-04T00:00:00"/>
    <s v="East"/>
    <x v="1"/>
    <x v="10"/>
    <n v="37000"/>
    <n v="6300"/>
    <n v="1"/>
    <x v="1"/>
    <n v="2025"/>
    <n v="0.17027027027027028"/>
  </r>
  <r>
    <n v="1036"/>
    <d v="2025-02-05T00:00:00"/>
    <s v="West"/>
    <x v="2"/>
    <x v="11"/>
    <n v="4800"/>
    <n v="900"/>
    <n v="4"/>
    <x v="1"/>
    <n v="2025"/>
    <n v="0.1875"/>
  </r>
  <r>
    <n v="1037"/>
    <d v="2025-02-06T00:00:00"/>
    <s v="North"/>
    <x v="0"/>
    <x v="0"/>
    <n v="62000"/>
    <n v="9500"/>
    <n v="2"/>
    <x v="1"/>
    <n v="2025"/>
    <n v="0.15322580645161291"/>
  </r>
  <r>
    <n v="1038"/>
    <d v="2025-02-07T00:00:00"/>
    <s v="South"/>
    <x v="1"/>
    <x v="1"/>
    <n v="7800"/>
    <n v="1150"/>
    <n v="5"/>
    <x v="1"/>
    <n v="2025"/>
    <n v="0.14743589743589744"/>
  </r>
  <r>
    <n v="1039"/>
    <d v="2025-02-08T00:00:00"/>
    <s v="East"/>
    <x v="2"/>
    <x v="2"/>
    <n v="3600"/>
    <n v="620"/>
    <n v="3"/>
    <x v="1"/>
    <n v="2025"/>
    <n v="0.17222222222222222"/>
  </r>
  <r>
    <n v="1040"/>
    <d v="2025-02-09T00:00:00"/>
    <s v="West"/>
    <x v="0"/>
    <x v="3"/>
    <n v="28000"/>
    <n v="4500"/>
    <n v="4"/>
    <x v="1"/>
    <n v="2025"/>
    <n v="0.16071428571428573"/>
  </r>
  <r>
    <n v="1041"/>
    <d v="2025-02-10T00:00:00"/>
    <s v="North"/>
    <x v="1"/>
    <x v="4"/>
    <n v="17500"/>
    <n v="2800"/>
    <n v="2"/>
    <x v="1"/>
    <n v="2025"/>
    <n v="0.16"/>
  </r>
  <r>
    <n v="1042"/>
    <d v="2025-02-11T00:00:00"/>
    <s v="South"/>
    <x v="2"/>
    <x v="5"/>
    <n v="2300"/>
    <n v="370"/>
    <n v="6"/>
    <x v="1"/>
    <n v="2025"/>
    <n v="0.16086956521739129"/>
  </r>
  <r>
    <n v="1043"/>
    <d v="2025-02-12T00:00:00"/>
    <s v="East"/>
    <x v="0"/>
    <x v="6"/>
    <n v="5600"/>
    <n v="1050"/>
    <n v="3"/>
    <x v="1"/>
    <n v="2025"/>
    <n v="0.1875"/>
  </r>
  <r>
    <n v="1044"/>
    <d v="2025-02-13T00:00:00"/>
    <s v="West"/>
    <x v="1"/>
    <x v="7"/>
    <n v="44000"/>
    <n v="7700"/>
    <n v="1"/>
    <x v="1"/>
    <n v="2025"/>
    <n v="0.17499999999999999"/>
  </r>
  <r>
    <n v="1045"/>
    <d v="2025-02-14T00:00:00"/>
    <s v="North"/>
    <x v="2"/>
    <x v="8"/>
    <n v="3300"/>
    <n v="650"/>
    <n v="4"/>
    <x v="1"/>
    <n v="2025"/>
    <n v="0.19696969696969696"/>
  </r>
  <r>
    <n v="1046"/>
    <d v="2025-02-15T00:00:00"/>
    <s v="South"/>
    <x v="0"/>
    <x v="9"/>
    <n v="21000"/>
    <n v="3600"/>
    <n v="2"/>
    <x v="1"/>
    <n v="2025"/>
    <n v="0.17142857142857143"/>
  </r>
  <r>
    <n v="1047"/>
    <d v="2025-02-16T00:00:00"/>
    <s v="East"/>
    <x v="1"/>
    <x v="10"/>
    <n v="38000"/>
    <n v="6500"/>
    <n v="1"/>
    <x v="1"/>
    <n v="2025"/>
    <n v="0.17105263157894737"/>
  </r>
  <r>
    <n v="1048"/>
    <d v="2025-02-17T00:00:00"/>
    <s v="West"/>
    <x v="2"/>
    <x v="11"/>
    <n v="5000"/>
    <n v="950"/>
    <n v="5"/>
    <x v="1"/>
    <n v="2025"/>
    <n v="0.19"/>
  </r>
  <r>
    <n v="1049"/>
    <d v="2025-02-18T00:00:00"/>
    <s v="North"/>
    <x v="0"/>
    <x v="0"/>
    <n v="63000"/>
    <n v="9800"/>
    <n v="2"/>
    <x v="1"/>
    <n v="2025"/>
    <n v="0.15555555555555556"/>
  </r>
  <r>
    <n v="1050"/>
    <d v="2025-02-19T00:00:00"/>
    <s v="South"/>
    <x v="1"/>
    <x v="1"/>
    <n v="8400"/>
    <n v="1400"/>
    <n v="4"/>
    <x v="1"/>
    <n v="2025"/>
    <n v="0.166666666666666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5-01-01T00:00:00"/>
    <x v="0"/>
    <s v="Electronics"/>
    <s v="Laptop"/>
    <n v="55000"/>
    <n v="8500"/>
    <n v="2"/>
  </r>
  <r>
    <n v="1002"/>
    <d v="2025-01-02T00:00:00"/>
    <x v="1"/>
    <s v="Furniture"/>
    <s v="Chair"/>
    <n v="8000"/>
    <n v="1200"/>
    <n v="4"/>
  </r>
  <r>
    <n v="1003"/>
    <d v="2025-01-03T00:00:00"/>
    <x v="2"/>
    <s v="Clothing"/>
    <s v="Jacket"/>
    <n v="3500"/>
    <n v="600"/>
    <n v="3"/>
  </r>
  <r>
    <n v="1004"/>
    <d v="2025-01-04T00:00:00"/>
    <x v="3"/>
    <s v="Electronics"/>
    <s v="Mobile"/>
    <n v="25000"/>
    <n v="4000"/>
    <n v="5"/>
  </r>
  <r>
    <n v="1005"/>
    <d v="2025-01-05T00:00:00"/>
    <x v="0"/>
    <s v="Furniture"/>
    <s v="Table"/>
    <n v="15000"/>
    <n v="2500"/>
    <n v="2"/>
  </r>
  <r>
    <n v="1006"/>
    <d v="2025-01-06T00:00:00"/>
    <x v="1"/>
    <s v="Clothing"/>
    <s v="Shirt"/>
    <n v="2000"/>
    <n v="300"/>
    <n v="6"/>
  </r>
  <r>
    <n v="1007"/>
    <d v="2025-01-07T00:00:00"/>
    <x v="2"/>
    <s v="Electronics"/>
    <s v="Headphones"/>
    <n v="5000"/>
    <n v="900"/>
    <n v="4"/>
  </r>
  <r>
    <n v="1008"/>
    <d v="2025-01-08T00:00:00"/>
    <x v="3"/>
    <s v="Furniture"/>
    <s v="Sofa"/>
    <n v="40000"/>
    <n v="7000"/>
    <n v="1"/>
  </r>
  <r>
    <n v="1009"/>
    <d v="2025-01-09T00:00:00"/>
    <x v="0"/>
    <s v="Clothing"/>
    <s v="Jeans"/>
    <n v="3000"/>
    <n v="500"/>
    <n v="3"/>
  </r>
  <r>
    <n v="1010"/>
    <d v="2025-01-10T00:00:00"/>
    <x v="1"/>
    <s v="Electronics"/>
    <s v="Tablet"/>
    <n v="18000"/>
    <n v="3000"/>
    <n v="2"/>
  </r>
  <r>
    <n v="1011"/>
    <d v="2025-01-11T00:00:00"/>
    <x v="2"/>
    <s v="Furniture"/>
    <s v="Bed"/>
    <n v="35000"/>
    <n v="6000"/>
    <n v="1"/>
  </r>
  <r>
    <n v="1012"/>
    <d v="2025-01-12T00:00:00"/>
    <x v="3"/>
    <s v="Clothing"/>
    <s v="Shoes"/>
    <n v="4500"/>
    <n v="800"/>
    <n v="4"/>
  </r>
  <r>
    <n v="1013"/>
    <d v="2025-01-13T00:00:00"/>
    <x v="0"/>
    <s v="Electronics"/>
    <s v="Laptop"/>
    <n v="60000"/>
    <n v="9000"/>
    <n v="2"/>
  </r>
  <r>
    <n v="1014"/>
    <d v="2025-01-14T00:00:00"/>
    <x v="1"/>
    <s v="Furniture"/>
    <s v="Chair"/>
    <n v="7500"/>
    <n v="1100"/>
    <n v="5"/>
  </r>
  <r>
    <n v="1015"/>
    <d v="2025-01-15T00:00:00"/>
    <x v="2"/>
    <s v="Clothing"/>
    <s v="Jacket"/>
    <n v="3800"/>
    <n v="650"/>
    <n v="2"/>
  </r>
  <r>
    <n v="1016"/>
    <d v="2025-01-16T00:00:00"/>
    <x v="3"/>
    <s v="Electronics"/>
    <s v="Mobile"/>
    <n v="27000"/>
    <n v="4200"/>
    <n v="4"/>
  </r>
  <r>
    <n v="1017"/>
    <d v="2025-01-17T00:00:00"/>
    <x v="0"/>
    <s v="Furniture"/>
    <s v="Table"/>
    <n v="16000"/>
    <n v="2600"/>
    <n v="2"/>
  </r>
  <r>
    <n v="1018"/>
    <d v="2025-01-18T00:00:00"/>
    <x v="1"/>
    <s v="Clothing"/>
    <s v="Shirt"/>
    <n v="2200"/>
    <n v="350"/>
    <n v="7"/>
  </r>
  <r>
    <n v="1019"/>
    <d v="2025-01-19T00:00:00"/>
    <x v="2"/>
    <s v="Electronics"/>
    <s v="Headphones"/>
    <n v="5200"/>
    <n v="950"/>
    <n v="3"/>
  </r>
  <r>
    <n v="1020"/>
    <d v="2025-01-20T00:00:00"/>
    <x v="3"/>
    <s v="Furniture"/>
    <s v="Sofa"/>
    <n v="42000"/>
    <n v="7200"/>
    <n v="1"/>
  </r>
  <r>
    <n v="1021"/>
    <d v="2025-01-21T00:00:00"/>
    <x v="0"/>
    <s v="Clothing"/>
    <s v="Jeans"/>
    <n v="3100"/>
    <n v="550"/>
    <n v="4"/>
  </r>
  <r>
    <n v="1022"/>
    <d v="2025-01-22T00:00:00"/>
    <x v="1"/>
    <s v="Electronics"/>
    <s v="Tablet"/>
    <n v="19000"/>
    <n v="3200"/>
    <n v="3"/>
  </r>
  <r>
    <n v="1023"/>
    <d v="2025-01-23T00:00:00"/>
    <x v="2"/>
    <s v="Furniture"/>
    <s v="Bed"/>
    <n v="36000"/>
    <n v="6100"/>
    <n v="1"/>
  </r>
  <r>
    <n v="1024"/>
    <d v="2025-01-24T00:00:00"/>
    <x v="3"/>
    <s v="Clothing"/>
    <s v="Shoes"/>
    <n v="4700"/>
    <n v="850"/>
    <n v="5"/>
  </r>
  <r>
    <n v="1025"/>
    <d v="2025-01-25T00:00:00"/>
    <x v="0"/>
    <s v="Electronics"/>
    <s v="Laptop"/>
    <n v="58000"/>
    <n v="8800"/>
    <n v="2"/>
  </r>
  <r>
    <n v="1026"/>
    <d v="2025-01-26T00:00:00"/>
    <x v="1"/>
    <s v="Furniture"/>
    <s v="Chair"/>
    <n v="8200"/>
    <n v="1300"/>
    <n v="4"/>
  </r>
  <r>
    <n v="1027"/>
    <d v="2025-01-27T00:00:00"/>
    <x v="2"/>
    <s v="Clothing"/>
    <s v="Jacket"/>
    <n v="3400"/>
    <n v="580"/>
    <n v="3"/>
  </r>
  <r>
    <n v="1028"/>
    <d v="2025-01-28T00:00:00"/>
    <x v="3"/>
    <s v="Electronics"/>
    <s v="Mobile"/>
    <n v="26000"/>
    <n v="4100"/>
    <n v="5"/>
  </r>
  <r>
    <n v="1029"/>
    <d v="2025-01-29T00:00:00"/>
    <x v="0"/>
    <s v="Furniture"/>
    <s v="Table"/>
    <n v="17000"/>
    <n v="2700"/>
    <n v="2"/>
  </r>
  <r>
    <n v="1030"/>
    <d v="2025-01-30T00:00:00"/>
    <x v="1"/>
    <s v="Clothing"/>
    <s v="Shirt"/>
    <n v="2100"/>
    <n v="320"/>
    <n v="6"/>
  </r>
  <r>
    <n v="1031"/>
    <d v="2025-01-31T00:00:00"/>
    <x v="2"/>
    <s v="Electronics"/>
    <s v="Headphones"/>
    <n v="5400"/>
    <n v="1000"/>
    <n v="4"/>
  </r>
  <r>
    <n v="1032"/>
    <d v="2025-02-01T00:00:00"/>
    <x v="3"/>
    <s v="Furniture"/>
    <s v="Sofa"/>
    <n v="43000"/>
    <n v="7500"/>
    <n v="1"/>
  </r>
  <r>
    <n v="1033"/>
    <d v="2025-02-02T00:00:00"/>
    <x v="0"/>
    <s v="Clothing"/>
    <s v="Jeans"/>
    <n v="3200"/>
    <n v="600"/>
    <n v="3"/>
  </r>
  <r>
    <n v="1034"/>
    <d v="2025-02-03T00:00:00"/>
    <x v="1"/>
    <s v="Electronics"/>
    <s v="Tablet"/>
    <n v="20000"/>
    <n v="3400"/>
    <n v="2"/>
  </r>
  <r>
    <n v="1035"/>
    <d v="2025-02-04T00:00:00"/>
    <x v="2"/>
    <s v="Furniture"/>
    <s v="Bed"/>
    <n v="37000"/>
    <n v="6300"/>
    <n v="1"/>
  </r>
  <r>
    <n v="1036"/>
    <d v="2025-02-05T00:00:00"/>
    <x v="3"/>
    <s v="Clothing"/>
    <s v="Shoes"/>
    <n v="4800"/>
    <n v="900"/>
    <n v="4"/>
  </r>
  <r>
    <n v="1037"/>
    <d v="2025-02-06T00:00:00"/>
    <x v="0"/>
    <s v="Electronics"/>
    <s v="Laptop"/>
    <n v="62000"/>
    <n v="9500"/>
    <n v="2"/>
  </r>
  <r>
    <n v="1038"/>
    <d v="2025-02-07T00:00:00"/>
    <x v="1"/>
    <s v="Furniture"/>
    <s v="Chair"/>
    <n v="7800"/>
    <n v="1150"/>
    <n v="5"/>
  </r>
  <r>
    <n v="1039"/>
    <d v="2025-02-08T00:00:00"/>
    <x v="2"/>
    <s v="Clothing"/>
    <s v="Jacket"/>
    <n v="3600"/>
    <n v="620"/>
    <n v="3"/>
  </r>
  <r>
    <n v="1040"/>
    <d v="2025-02-09T00:00:00"/>
    <x v="3"/>
    <s v="Electronics"/>
    <s v="Mobile"/>
    <n v="28000"/>
    <n v="4500"/>
    <n v="4"/>
  </r>
  <r>
    <n v="1041"/>
    <d v="2025-02-10T00:00:00"/>
    <x v="0"/>
    <s v="Furniture"/>
    <s v="Table"/>
    <n v="17500"/>
    <n v="2800"/>
    <n v="2"/>
  </r>
  <r>
    <n v="1042"/>
    <d v="2025-02-11T00:00:00"/>
    <x v="1"/>
    <s v="Clothing"/>
    <s v="Shirt"/>
    <n v="2300"/>
    <n v="370"/>
    <n v="6"/>
  </r>
  <r>
    <n v="1043"/>
    <d v="2025-02-12T00:00:00"/>
    <x v="2"/>
    <s v="Electronics"/>
    <s v="Headphones"/>
    <n v="5600"/>
    <n v="1050"/>
    <n v="3"/>
  </r>
  <r>
    <n v="1044"/>
    <d v="2025-02-13T00:00:00"/>
    <x v="3"/>
    <s v="Furniture"/>
    <s v="Sofa"/>
    <n v="44000"/>
    <n v="7700"/>
    <n v="1"/>
  </r>
  <r>
    <n v="1045"/>
    <d v="2025-02-14T00:00:00"/>
    <x v="0"/>
    <s v="Clothing"/>
    <s v="Jeans"/>
    <n v="3300"/>
    <n v="650"/>
    <n v="4"/>
  </r>
  <r>
    <n v="1046"/>
    <d v="2025-02-15T00:00:00"/>
    <x v="1"/>
    <s v="Electronics"/>
    <s v="Tablet"/>
    <n v="21000"/>
    <n v="3600"/>
    <n v="2"/>
  </r>
  <r>
    <n v="1047"/>
    <d v="2025-02-16T00:00:00"/>
    <x v="2"/>
    <s v="Furniture"/>
    <s v="Bed"/>
    <n v="38000"/>
    <n v="6500"/>
    <n v="1"/>
  </r>
  <r>
    <n v="1048"/>
    <d v="2025-02-17T00:00:00"/>
    <x v="3"/>
    <s v="Clothing"/>
    <s v="Shoes"/>
    <n v="5000"/>
    <n v="950"/>
    <n v="5"/>
  </r>
  <r>
    <n v="1049"/>
    <d v="2025-02-18T00:00:00"/>
    <x v="0"/>
    <s v="Electronics"/>
    <s v="Laptop"/>
    <n v="63000"/>
    <n v="9800"/>
    <n v="2"/>
  </r>
  <r>
    <n v="1050"/>
    <d v="2025-02-19T00:00:00"/>
    <x v="1"/>
    <s v="Furniture"/>
    <s v="Chair"/>
    <n v="8400"/>
    <n v="140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E60A1-E0B1-4B61-9B06-3538E22EB41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 numFmtId="3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36CF8-357E-4AB7-B4AC-E323F2DF570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6" firstHeaderRow="1" firstDataRow="1" firstDataCol="1"/>
  <pivotFields count="11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 numFmtId="4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722FA-E460-4257-BEEC-C390BB2010B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1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 numFmtId="3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9147A-F98D-4082-B7FB-5C050862846A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4" firstHeaderRow="1" firstDataRow="1" firstDataCol="1"/>
  <pivotFields count="11">
    <pivotField showAll="0"/>
    <pivotField numFmtId="14" showAll="0"/>
    <pivotField showAll="0"/>
    <pivotField showAll="0"/>
    <pivotField axis="axisRow" showAll="0" measureFilter="1">
      <items count="13">
        <item x="10"/>
        <item x="1"/>
        <item x="6"/>
        <item x="2"/>
        <item x="8"/>
        <item x="0"/>
        <item x="3"/>
        <item x="5"/>
        <item x="11"/>
        <item x="7"/>
        <item x="4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5"/>
    </i>
    <i>
      <x v="6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 numFmtId="3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ED0D6-9A7B-40FE-8889-823E2C133800}" name="Table1" displayName="Table1" ref="A1:H51" totalsRowShown="0" headerRowDxfId="13" dataDxfId="14">
  <autoFilter ref="A1:H51" xr:uid="{AA0ED0D6-9A7B-40FE-8889-823E2C133800}"/>
  <tableColumns count="8">
    <tableColumn id="1" xr3:uid="{9C7D863A-1B6B-442F-A4E8-338C1D74C52F}" name="Order_ID" dataDxfId="22"/>
    <tableColumn id="2" xr3:uid="{BE316F51-5171-485B-80E1-88ED588B1F60}" name="Date" dataDxfId="21"/>
    <tableColumn id="3" xr3:uid="{4C5F41EE-87B6-4370-B9D8-3AFE70DF0B8F}" name="Region" dataDxfId="20"/>
    <tableColumn id="4" xr3:uid="{81988E22-8208-47BE-93C0-E78547E2BAA5}" name="Category" dataDxfId="19"/>
    <tableColumn id="5" xr3:uid="{105823CC-5E43-47D1-ADB8-D57DDBF7E4BE}" name="Product" dataDxfId="18"/>
    <tableColumn id="6" xr3:uid="{6A219CC5-E3FC-46AD-A9A6-1B7031F14594}" name="Sales" dataDxfId="17"/>
    <tableColumn id="7" xr3:uid="{D92D3BCE-1476-4855-82C1-AD3386DCC8AE}" name="Profit" dataDxfId="16"/>
    <tableColumn id="8" xr3:uid="{9F2B2224-227B-4A52-9027-57563D0EF188}" name="Quantity" dataDxfId="15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F380D2-BCB4-4126-9321-2B4BD3F6AE9F}" name="Table13" displayName="Table13" ref="A1:K51" totalsRowShown="0" headerRowDxfId="12" dataDxfId="11">
  <autoFilter ref="A1:K51" xr:uid="{15F380D2-BCB4-4126-9321-2B4BD3F6AE9F}"/>
  <tableColumns count="11">
    <tableColumn id="1" xr3:uid="{79D4D70B-1B29-4519-8DFA-A5692129C41E}" name="Order_ID" dataDxfId="10"/>
    <tableColumn id="2" xr3:uid="{18C75CA3-58D4-4A29-9C0C-00A0CF8544F0}" name="Date" dataDxfId="9"/>
    <tableColumn id="3" xr3:uid="{83FA073A-60D6-4F65-B1C7-D1066882CC34}" name="Region" dataDxfId="8"/>
    <tableColumn id="4" xr3:uid="{5B495FB5-92A2-4294-9117-2E0ED24A1CD3}" name="Category" dataDxfId="7"/>
    <tableColumn id="5" xr3:uid="{A1B2BFBD-6AF5-405C-94D2-CA23406BDDDA}" name="Product" dataDxfId="6"/>
    <tableColumn id="6" xr3:uid="{D2CE1B80-01E0-4465-AD41-DBCE404D943C}" name="Sales" dataDxfId="5"/>
    <tableColumn id="7" xr3:uid="{16A00D4F-37AF-4DFB-A275-EC4BC49765E2}" name="Profit" dataDxfId="4"/>
    <tableColumn id="8" xr3:uid="{33590732-8032-4920-8096-4C6A82806D74}" name="Quantity" dataDxfId="3"/>
    <tableColumn id="9" xr3:uid="{28171B9A-E019-4817-929D-B62E94CA4B97}" name="Month" dataDxfId="0">
      <calculatedColumnFormula>TEXT(B2,"mmm")</calculatedColumnFormula>
    </tableColumn>
    <tableColumn id="10" xr3:uid="{FD04724E-0F46-42FA-BB99-C42A37720605}" name="Year" dataDxfId="1">
      <calculatedColumnFormula>YEAR(B2)</calculatedColumnFormula>
    </tableColumn>
    <tableColumn id="11" xr3:uid="{715A6101-350D-4D3C-96A1-D26384A3864A}" name="profit_margin" dataDxfId="2">
      <calculatedColumnFormula>G2/F2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B841-873D-46ED-BB1F-5C3C8CEDC538}">
  <dimension ref="A3:B8"/>
  <sheetViews>
    <sheetView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30</v>
      </c>
      <c r="B3" t="s">
        <v>34</v>
      </c>
    </row>
    <row r="4" spans="1:2" x14ac:dyDescent="0.35">
      <c r="A4" s="4" t="s">
        <v>14</v>
      </c>
      <c r="B4" s="6">
        <v>181500</v>
      </c>
    </row>
    <row r="5" spans="1:2" x14ac:dyDescent="0.35">
      <c r="A5" s="4" t="s">
        <v>8</v>
      </c>
      <c r="B5" s="6">
        <v>376100</v>
      </c>
    </row>
    <row r="6" spans="1:2" x14ac:dyDescent="0.35">
      <c r="A6" s="4" t="s">
        <v>11</v>
      </c>
      <c r="B6" s="6">
        <v>126500</v>
      </c>
    </row>
    <row r="7" spans="1:2" x14ac:dyDescent="0.35">
      <c r="A7" s="4" t="s">
        <v>17</v>
      </c>
      <c r="B7" s="6">
        <v>294000</v>
      </c>
    </row>
    <row r="8" spans="1:2" x14ac:dyDescent="0.35">
      <c r="A8" s="4" t="s">
        <v>33</v>
      </c>
      <c r="B8" s="6">
        <v>978100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0CF5-F84F-4B4A-8334-CB2610F3E8B8}">
  <dimension ref="A1:H51"/>
  <sheetViews>
    <sheetView topLeftCell="B1" workbookViewId="0">
      <selection sqref="A1:H51"/>
    </sheetView>
  </sheetViews>
  <sheetFormatPr defaultRowHeight="14.5" x14ac:dyDescent="0.35"/>
  <cols>
    <col min="1" max="1" width="15.54296875" customWidth="1"/>
    <col min="2" max="2" width="15.08984375" customWidth="1"/>
    <col min="3" max="3" width="16.54296875" customWidth="1"/>
    <col min="4" max="4" width="14.90625" customWidth="1"/>
    <col min="5" max="5" width="19.81640625" customWidth="1"/>
    <col min="6" max="6" width="14.90625" customWidth="1"/>
    <col min="7" max="7" width="14.7265625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1001</v>
      </c>
      <c r="B2" s="2">
        <v>45658</v>
      </c>
      <c r="C2" s="1" t="s">
        <v>8</v>
      </c>
      <c r="D2" s="1" t="s">
        <v>9</v>
      </c>
      <c r="E2" s="1" t="s">
        <v>10</v>
      </c>
      <c r="F2" s="1">
        <v>55000</v>
      </c>
      <c r="G2" s="1">
        <v>8500</v>
      </c>
      <c r="H2" s="1">
        <v>2</v>
      </c>
    </row>
    <row r="3" spans="1:8" x14ac:dyDescent="0.35">
      <c r="A3" s="1">
        <v>1002</v>
      </c>
      <c r="B3" s="2">
        <v>45659</v>
      </c>
      <c r="C3" s="1" t="s">
        <v>11</v>
      </c>
      <c r="D3" s="1" t="s">
        <v>12</v>
      </c>
      <c r="E3" s="1" t="s">
        <v>13</v>
      </c>
      <c r="F3" s="1">
        <v>8000</v>
      </c>
      <c r="G3" s="1">
        <v>1200</v>
      </c>
      <c r="H3" s="1">
        <v>4</v>
      </c>
    </row>
    <row r="4" spans="1:8" x14ac:dyDescent="0.35">
      <c r="A4" s="1">
        <v>1003</v>
      </c>
      <c r="B4" s="2">
        <v>45660</v>
      </c>
      <c r="C4" s="1" t="s">
        <v>14</v>
      </c>
      <c r="D4" s="1" t="s">
        <v>15</v>
      </c>
      <c r="E4" s="1" t="s">
        <v>16</v>
      </c>
      <c r="F4" s="1">
        <v>3500</v>
      </c>
      <c r="G4" s="1">
        <v>600</v>
      </c>
      <c r="H4" s="1">
        <v>3</v>
      </c>
    </row>
    <row r="5" spans="1:8" x14ac:dyDescent="0.35">
      <c r="A5" s="1">
        <v>1004</v>
      </c>
      <c r="B5" s="2">
        <v>45661</v>
      </c>
      <c r="C5" s="1" t="s">
        <v>17</v>
      </c>
      <c r="D5" s="1" t="s">
        <v>9</v>
      </c>
      <c r="E5" s="1" t="s">
        <v>18</v>
      </c>
      <c r="F5" s="1">
        <v>25000</v>
      </c>
      <c r="G5" s="1">
        <v>4000</v>
      </c>
      <c r="H5" s="1">
        <v>5</v>
      </c>
    </row>
    <row r="6" spans="1:8" x14ac:dyDescent="0.35">
      <c r="A6" s="1">
        <v>1005</v>
      </c>
      <c r="B6" s="2">
        <v>45662</v>
      </c>
      <c r="C6" s="1" t="s">
        <v>8</v>
      </c>
      <c r="D6" s="1" t="s">
        <v>12</v>
      </c>
      <c r="E6" s="1" t="s">
        <v>19</v>
      </c>
      <c r="F6" s="1">
        <v>15000</v>
      </c>
      <c r="G6" s="1">
        <v>2500</v>
      </c>
      <c r="H6" s="1">
        <v>2</v>
      </c>
    </row>
    <row r="7" spans="1:8" x14ac:dyDescent="0.35">
      <c r="A7" s="1">
        <v>1006</v>
      </c>
      <c r="B7" s="2">
        <v>45663</v>
      </c>
      <c r="C7" s="1" t="s">
        <v>11</v>
      </c>
      <c r="D7" s="1" t="s">
        <v>15</v>
      </c>
      <c r="E7" s="1" t="s">
        <v>20</v>
      </c>
      <c r="F7" s="1">
        <v>2000</v>
      </c>
      <c r="G7" s="1">
        <v>300</v>
      </c>
      <c r="H7" s="1">
        <v>6</v>
      </c>
    </row>
    <row r="8" spans="1:8" x14ac:dyDescent="0.35">
      <c r="A8" s="1">
        <v>1007</v>
      </c>
      <c r="B8" s="2">
        <v>45664</v>
      </c>
      <c r="C8" s="1" t="s">
        <v>14</v>
      </c>
      <c r="D8" s="1" t="s">
        <v>9</v>
      </c>
      <c r="E8" s="1" t="s">
        <v>21</v>
      </c>
      <c r="F8" s="1">
        <v>5000</v>
      </c>
      <c r="G8" s="1">
        <v>900</v>
      </c>
      <c r="H8" s="1">
        <v>4</v>
      </c>
    </row>
    <row r="9" spans="1:8" x14ac:dyDescent="0.35">
      <c r="A9" s="1">
        <v>1008</v>
      </c>
      <c r="B9" s="2">
        <v>45665</v>
      </c>
      <c r="C9" s="1" t="s">
        <v>17</v>
      </c>
      <c r="D9" s="1" t="s">
        <v>12</v>
      </c>
      <c r="E9" s="1" t="s">
        <v>22</v>
      </c>
      <c r="F9" s="1">
        <v>40000</v>
      </c>
      <c r="G9" s="1">
        <v>7000</v>
      </c>
      <c r="H9" s="1">
        <v>1</v>
      </c>
    </row>
    <row r="10" spans="1:8" x14ac:dyDescent="0.35">
      <c r="A10" s="1">
        <v>1009</v>
      </c>
      <c r="B10" s="2">
        <v>45666</v>
      </c>
      <c r="C10" s="1" t="s">
        <v>8</v>
      </c>
      <c r="D10" s="1" t="s">
        <v>15</v>
      </c>
      <c r="E10" s="1" t="s">
        <v>23</v>
      </c>
      <c r="F10" s="1">
        <v>3000</v>
      </c>
      <c r="G10" s="1">
        <v>500</v>
      </c>
      <c r="H10" s="1">
        <v>3</v>
      </c>
    </row>
    <row r="11" spans="1:8" x14ac:dyDescent="0.35">
      <c r="A11" s="1">
        <v>1010</v>
      </c>
      <c r="B11" s="2">
        <v>45667</v>
      </c>
      <c r="C11" s="1" t="s">
        <v>11</v>
      </c>
      <c r="D11" s="1" t="s">
        <v>9</v>
      </c>
      <c r="E11" s="1" t="s">
        <v>24</v>
      </c>
      <c r="F11" s="1">
        <v>18000</v>
      </c>
      <c r="G11" s="1">
        <v>3000</v>
      </c>
      <c r="H11" s="1">
        <v>2</v>
      </c>
    </row>
    <row r="12" spans="1:8" x14ac:dyDescent="0.35">
      <c r="A12" s="1">
        <v>1011</v>
      </c>
      <c r="B12" s="2">
        <v>45668</v>
      </c>
      <c r="C12" s="1" t="s">
        <v>14</v>
      </c>
      <c r="D12" s="1" t="s">
        <v>12</v>
      </c>
      <c r="E12" s="1" t="s">
        <v>25</v>
      </c>
      <c r="F12" s="1">
        <v>35000</v>
      </c>
      <c r="G12" s="1">
        <v>6000</v>
      </c>
      <c r="H12" s="1">
        <v>1</v>
      </c>
    </row>
    <row r="13" spans="1:8" x14ac:dyDescent="0.35">
      <c r="A13" s="1">
        <v>1012</v>
      </c>
      <c r="B13" s="2">
        <v>45669</v>
      </c>
      <c r="C13" s="1" t="s">
        <v>17</v>
      </c>
      <c r="D13" s="1" t="s">
        <v>15</v>
      </c>
      <c r="E13" s="1" t="s">
        <v>26</v>
      </c>
      <c r="F13" s="1">
        <v>4500</v>
      </c>
      <c r="G13" s="1">
        <v>800</v>
      </c>
      <c r="H13" s="1">
        <v>4</v>
      </c>
    </row>
    <row r="14" spans="1:8" x14ac:dyDescent="0.35">
      <c r="A14" s="1">
        <v>1013</v>
      </c>
      <c r="B14" s="2">
        <v>45670</v>
      </c>
      <c r="C14" s="1" t="s">
        <v>8</v>
      </c>
      <c r="D14" s="1" t="s">
        <v>9</v>
      </c>
      <c r="E14" s="1" t="s">
        <v>10</v>
      </c>
      <c r="F14" s="1">
        <v>60000</v>
      </c>
      <c r="G14" s="1">
        <v>9000</v>
      </c>
      <c r="H14" s="1">
        <v>2</v>
      </c>
    </row>
    <row r="15" spans="1:8" x14ac:dyDescent="0.35">
      <c r="A15" s="1">
        <v>1014</v>
      </c>
      <c r="B15" s="2">
        <v>45671</v>
      </c>
      <c r="C15" s="1" t="s">
        <v>11</v>
      </c>
      <c r="D15" s="1" t="s">
        <v>12</v>
      </c>
      <c r="E15" s="1" t="s">
        <v>13</v>
      </c>
      <c r="F15" s="1">
        <v>7500</v>
      </c>
      <c r="G15" s="1">
        <v>1100</v>
      </c>
      <c r="H15" s="1">
        <v>5</v>
      </c>
    </row>
    <row r="16" spans="1:8" x14ac:dyDescent="0.35">
      <c r="A16" s="1">
        <v>1015</v>
      </c>
      <c r="B16" s="2">
        <v>45672</v>
      </c>
      <c r="C16" s="1" t="s">
        <v>14</v>
      </c>
      <c r="D16" s="1" t="s">
        <v>15</v>
      </c>
      <c r="E16" s="1" t="s">
        <v>16</v>
      </c>
      <c r="F16" s="1">
        <v>3800</v>
      </c>
      <c r="G16" s="1">
        <v>650</v>
      </c>
      <c r="H16" s="1">
        <v>2</v>
      </c>
    </row>
    <row r="17" spans="1:8" x14ac:dyDescent="0.35">
      <c r="A17" s="1">
        <v>1016</v>
      </c>
      <c r="B17" s="2">
        <v>45673</v>
      </c>
      <c r="C17" s="1" t="s">
        <v>17</v>
      </c>
      <c r="D17" s="1" t="s">
        <v>9</v>
      </c>
      <c r="E17" s="1" t="s">
        <v>18</v>
      </c>
      <c r="F17" s="1">
        <v>27000</v>
      </c>
      <c r="G17" s="1">
        <v>4200</v>
      </c>
      <c r="H17" s="1">
        <v>4</v>
      </c>
    </row>
    <row r="18" spans="1:8" x14ac:dyDescent="0.35">
      <c r="A18" s="1">
        <v>1017</v>
      </c>
      <c r="B18" s="2">
        <v>45674</v>
      </c>
      <c r="C18" s="1" t="s">
        <v>8</v>
      </c>
      <c r="D18" s="1" t="s">
        <v>12</v>
      </c>
      <c r="E18" s="1" t="s">
        <v>19</v>
      </c>
      <c r="F18" s="1">
        <v>16000</v>
      </c>
      <c r="G18" s="1">
        <v>2600</v>
      </c>
      <c r="H18" s="1">
        <v>2</v>
      </c>
    </row>
    <row r="19" spans="1:8" x14ac:dyDescent="0.35">
      <c r="A19" s="1">
        <v>1018</v>
      </c>
      <c r="B19" s="2">
        <v>45675</v>
      </c>
      <c r="C19" s="1" t="s">
        <v>11</v>
      </c>
      <c r="D19" s="1" t="s">
        <v>15</v>
      </c>
      <c r="E19" s="1" t="s">
        <v>20</v>
      </c>
      <c r="F19" s="1">
        <v>2200</v>
      </c>
      <c r="G19" s="1">
        <v>350</v>
      </c>
      <c r="H19" s="1">
        <v>7</v>
      </c>
    </row>
    <row r="20" spans="1:8" x14ac:dyDescent="0.35">
      <c r="A20" s="1">
        <v>1019</v>
      </c>
      <c r="B20" s="2">
        <v>45676</v>
      </c>
      <c r="C20" s="1" t="s">
        <v>14</v>
      </c>
      <c r="D20" s="1" t="s">
        <v>9</v>
      </c>
      <c r="E20" s="1" t="s">
        <v>21</v>
      </c>
      <c r="F20" s="1">
        <v>5200</v>
      </c>
      <c r="G20" s="1">
        <v>950</v>
      </c>
      <c r="H20" s="1">
        <v>3</v>
      </c>
    </row>
    <row r="21" spans="1:8" x14ac:dyDescent="0.35">
      <c r="A21" s="1">
        <v>1020</v>
      </c>
      <c r="B21" s="2">
        <v>45677</v>
      </c>
      <c r="C21" s="1" t="s">
        <v>17</v>
      </c>
      <c r="D21" s="1" t="s">
        <v>12</v>
      </c>
      <c r="E21" s="1" t="s">
        <v>22</v>
      </c>
      <c r="F21" s="1">
        <v>42000</v>
      </c>
      <c r="G21" s="1">
        <v>7200</v>
      </c>
      <c r="H21" s="1">
        <v>1</v>
      </c>
    </row>
    <row r="22" spans="1:8" x14ac:dyDescent="0.35">
      <c r="A22" s="1">
        <v>1021</v>
      </c>
      <c r="B22" s="2">
        <v>45678</v>
      </c>
      <c r="C22" s="1" t="s">
        <v>8</v>
      </c>
      <c r="D22" s="1" t="s">
        <v>15</v>
      </c>
      <c r="E22" s="1" t="s">
        <v>23</v>
      </c>
      <c r="F22" s="1">
        <v>3100</v>
      </c>
      <c r="G22" s="1">
        <v>550</v>
      </c>
      <c r="H22" s="1">
        <v>4</v>
      </c>
    </row>
    <row r="23" spans="1:8" x14ac:dyDescent="0.35">
      <c r="A23" s="1">
        <v>1022</v>
      </c>
      <c r="B23" s="2">
        <v>45679</v>
      </c>
      <c r="C23" s="1" t="s">
        <v>11</v>
      </c>
      <c r="D23" s="1" t="s">
        <v>9</v>
      </c>
      <c r="E23" s="1" t="s">
        <v>24</v>
      </c>
      <c r="F23" s="1">
        <v>19000</v>
      </c>
      <c r="G23" s="1">
        <v>3200</v>
      </c>
      <c r="H23" s="1">
        <v>3</v>
      </c>
    </row>
    <row r="24" spans="1:8" x14ac:dyDescent="0.35">
      <c r="A24" s="1">
        <v>1023</v>
      </c>
      <c r="B24" s="2">
        <v>45680</v>
      </c>
      <c r="C24" s="1" t="s">
        <v>14</v>
      </c>
      <c r="D24" s="1" t="s">
        <v>12</v>
      </c>
      <c r="E24" s="1" t="s">
        <v>25</v>
      </c>
      <c r="F24" s="1">
        <v>36000</v>
      </c>
      <c r="G24" s="1">
        <v>6100</v>
      </c>
      <c r="H24" s="1">
        <v>1</v>
      </c>
    </row>
    <row r="25" spans="1:8" x14ac:dyDescent="0.35">
      <c r="A25" s="1">
        <v>1024</v>
      </c>
      <c r="B25" s="2">
        <v>45681</v>
      </c>
      <c r="C25" s="1" t="s">
        <v>17</v>
      </c>
      <c r="D25" s="1" t="s">
        <v>15</v>
      </c>
      <c r="E25" s="1" t="s">
        <v>26</v>
      </c>
      <c r="F25" s="1">
        <v>4700</v>
      </c>
      <c r="G25" s="1">
        <v>850</v>
      </c>
      <c r="H25" s="1">
        <v>5</v>
      </c>
    </row>
    <row r="26" spans="1:8" x14ac:dyDescent="0.35">
      <c r="A26" s="1">
        <v>1025</v>
      </c>
      <c r="B26" s="2">
        <v>45682</v>
      </c>
      <c r="C26" s="1" t="s">
        <v>8</v>
      </c>
      <c r="D26" s="1" t="s">
        <v>9</v>
      </c>
      <c r="E26" s="1" t="s">
        <v>10</v>
      </c>
      <c r="F26" s="1">
        <v>58000</v>
      </c>
      <c r="G26" s="1">
        <v>8800</v>
      </c>
      <c r="H26" s="1">
        <v>2</v>
      </c>
    </row>
    <row r="27" spans="1:8" x14ac:dyDescent="0.35">
      <c r="A27" s="1">
        <v>1026</v>
      </c>
      <c r="B27" s="2">
        <v>45683</v>
      </c>
      <c r="C27" s="1" t="s">
        <v>11</v>
      </c>
      <c r="D27" s="1" t="s">
        <v>12</v>
      </c>
      <c r="E27" s="1" t="s">
        <v>13</v>
      </c>
      <c r="F27" s="1">
        <v>8200</v>
      </c>
      <c r="G27" s="1">
        <v>1300</v>
      </c>
      <c r="H27" s="1">
        <v>4</v>
      </c>
    </row>
    <row r="28" spans="1:8" x14ac:dyDescent="0.35">
      <c r="A28" s="1">
        <v>1027</v>
      </c>
      <c r="B28" s="2">
        <v>45684</v>
      </c>
      <c r="C28" s="1" t="s">
        <v>14</v>
      </c>
      <c r="D28" s="1" t="s">
        <v>15</v>
      </c>
      <c r="E28" s="1" t="s">
        <v>16</v>
      </c>
      <c r="F28" s="1">
        <v>3400</v>
      </c>
      <c r="G28" s="1">
        <v>580</v>
      </c>
      <c r="H28" s="1">
        <v>3</v>
      </c>
    </row>
    <row r="29" spans="1:8" x14ac:dyDescent="0.35">
      <c r="A29" s="1">
        <v>1028</v>
      </c>
      <c r="B29" s="2">
        <v>45685</v>
      </c>
      <c r="C29" s="1" t="s">
        <v>17</v>
      </c>
      <c r="D29" s="1" t="s">
        <v>9</v>
      </c>
      <c r="E29" s="1" t="s">
        <v>18</v>
      </c>
      <c r="F29" s="1">
        <v>26000</v>
      </c>
      <c r="G29" s="1">
        <v>4100</v>
      </c>
      <c r="H29" s="1">
        <v>5</v>
      </c>
    </row>
    <row r="30" spans="1:8" x14ac:dyDescent="0.35">
      <c r="A30" s="1">
        <v>1029</v>
      </c>
      <c r="B30" s="2">
        <v>45686</v>
      </c>
      <c r="C30" s="1" t="s">
        <v>8</v>
      </c>
      <c r="D30" s="1" t="s">
        <v>12</v>
      </c>
      <c r="E30" s="1" t="s">
        <v>19</v>
      </c>
      <c r="F30" s="1">
        <v>17000</v>
      </c>
      <c r="G30" s="1">
        <v>2700</v>
      </c>
      <c r="H30" s="1">
        <v>2</v>
      </c>
    </row>
    <row r="31" spans="1:8" x14ac:dyDescent="0.35">
      <c r="A31" s="1">
        <v>1030</v>
      </c>
      <c r="B31" s="2">
        <v>45687</v>
      </c>
      <c r="C31" s="1" t="s">
        <v>11</v>
      </c>
      <c r="D31" s="1" t="s">
        <v>15</v>
      </c>
      <c r="E31" s="1" t="s">
        <v>20</v>
      </c>
      <c r="F31" s="1">
        <v>2100</v>
      </c>
      <c r="G31" s="1">
        <v>320</v>
      </c>
      <c r="H31" s="1">
        <v>6</v>
      </c>
    </row>
    <row r="32" spans="1:8" x14ac:dyDescent="0.35">
      <c r="A32" s="1">
        <v>1031</v>
      </c>
      <c r="B32" s="2">
        <v>45688</v>
      </c>
      <c r="C32" s="1" t="s">
        <v>14</v>
      </c>
      <c r="D32" s="1" t="s">
        <v>9</v>
      </c>
      <c r="E32" s="1" t="s">
        <v>21</v>
      </c>
      <c r="F32" s="1">
        <v>5400</v>
      </c>
      <c r="G32" s="1">
        <v>1000</v>
      </c>
      <c r="H32" s="1">
        <v>4</v>
      </c>
    </row>
    <row r="33" spans="1:8" x14ac:dyDescent="0.35">
      <c r="A33" s="1">
        <v>1032</v>
      </c>
      <c r="B33" s="2">
        <v>45689</v>
      </c>
      <c r="C33" s="1" t="s">
        <v>17</v>
      </c>
      <c r="D33" s="1" t="s">
        <v>12</v>
      </c>
      <c r="E33" s="1" t="s">
        <v>22</v>
      </c>
      <c r="F33" s="1">
        <v>43000</v>
      </c>
      <c r="G33" s="1">
        <v>7500</v>
      </c>
      <c r="H33" s="1">
        <v>1</v>
      </c>
    </row>
    <row r="34" spans="1:8" x14ac:dyDescent="0.35">
      <c r="A34" s="1">
        <v>1033</v>
      </c>
      <c r="B34" s="2">
        <v>45690</v>
      </c>
      <c r="C34" s="1" t="s">
        <v>8</v>
      </c>
      <c r="D34" s="1" t="s">
        <v>15</v>
      </c>
      <c r="E34" s="1" t="s">
        <v>23</v>
      </c>
      <c r="F34" s="1">
        <v>3200</v>
      </c>
      <c r="G34" s="1">
        <v>600</v>
      </c>
      <c r="H34" s="1">
        <v>3</v>
      </c>
    </row>
    <row r="35" spans="1:8" x14ac:dyDescent="0.35">
      <c r="A35" s="1">
        <v>1034</v>
      </c>
      <c r="B35" s="2">
        <v>45691</v>
      </c>
      <c r="C35" s="1" t="s">
        <v>11</v>
      </c>
      <c r="D35" s="1" t="s">
        <v>9</v>
      </c>
      <c r="E35" s="1" t="s">
        <v>24</v>
      </c>
      <c r="F35" s="1">
        <v>20000</v>
      </c>
      <c r="G35" s="1">
        <v>3400</v>
      </c>
      <c r="H35" s="1">
        <v>2</v>
      </c>
    </row>
    <row r="36" spans="1:8" x14ac:dyDescent="0.35">
      <c r="A36" s="1">
        <v>1035</v>
      </c>
      <c r="B36" s="2">
        <v>45692</v>
      </c>
      <c r="C36" s="1" t="s">
        <v>14</v>
      </c>
      <c r="D36" s="1" t="s">
        <v>12</v>
      </c>
      <c r="E36" s="1" t="s">
        <v>25</v>
      </c>
      <c r="F36" s="1">
        <v>37000</v>
      </c>
      <c r="G36" s="1">
        <v>6300</v>
      </c>
      <c r="H36" s="1">
        <v>1</v>
      </c>
    </row>
    <row r="37" spans="1:8" x14ac:dyDescent="0.35">
      <c r="A37" s="1">
        <v>1036</v>
      </c>
      <c r="B37" s="2">
        <v>45693</v>
      </c>
      <c r="C37" s="1" t="s">
        <v>17</v>
      </c>
      <c r="D37" s="1" t="s">
        <v>15</v>
      </c>
      <c r="E37" s="1" t="s">
        <v>26</v>
      </c>
      <c r="F37" s="1">
        <v>4800</v>
      </c>
      <c r="G37" s="1">
        <v>900</v>
      </c>
      <c r="H37" s="1">
        <v>4</v>
      </c>
    </row>
    <row r="38" spans="1:8" x14ac:dyDescent="0.35">
      <c r="A38" s="1">
        <v>1037</v>
      </c>
      <c r="B38" s="2">
        <v>45694</v>
      </c>
      <c r="C38" s="1" t="s">
        <v>8</v>
      </c>
      <c r="D38" s="1" t="s">
        <v>9</v>
      </c>
      <c r="E38" s="1" t="s">
        <v>10</v>
      </c>
      <c r="F38" s="1">
        <v>62000</v>
      </c>
      <c r="G38" s="1">
        <v>9500</v>
      </c>
      <c r="H38" s="1">
        <v>2</v>
      </c>
    </row>
    <row r="39" spans="1:8" x14ac:dyDescent="0.35">
      <c r="A39" s="1">
        <v>1038</v>
      </c>
      <c r="B39" s="2">
        <v>45695</v>
      </c>
      <c r="C39" s="1" t="s">
        <v>11</v>
      </c>
      <c r="D39" s="1" t="s">
        <v>12</v>
      </c>
      <c r="E39" s="1" t="s">
        <v>13</v>
      </c>
      <c r="F39" s="1">
        <v>7800</v>
      </c>
      <c r="G39" s="1">
        <v>1150</v>
      </c>
      <c r="H39" s="1">
        <v>5</v>
      </c>
    </row>
    <row r="40" spans="1:8" x14ac:dyDescent="0.35">
      <c r="A40" s="1">
        <v>1039</v>
      </c>
      <c r="B40" s="2">
        <v>45696</v>
      </c>
      <c r="C40" s="1" t="s">
        <v>14</v>
      </c>
      <c r="D40" s="1" t="s">
        <v>15</v>
      </c>
      <c r="E40" s="1" t="s">
        <v>16</v>
      </c>
      <c r="F40" s="1">
        <v>3600</v>
      </c>
      <c r="G40" s="1">
        <v>620</v>
      </c>
      <c r="H40" s="1">
        <v>3</v>
      </c>
    </row>
    <row r="41" spans="1:8" x14ac:dyDescent="0.35">
      <c r="A41" s="1">
        <v>1040</v>
      </c>
      <c r="B41" s="2">
        <v>45697</v>
      </c>
      <c r="C41" s="1" t="s">
        <v>17</v>
      </c>
      <c r="D41" s="1" t="s">
        <v>9</v>
      </c>
      <c r="E41" s="1" t="s">
        <v>18</v>
      </c>
      <c r="F41" s="1">
        <v>28000</v>
      </c>
      <c r="G41" s="1">
        <v>4500</v>
      </c>
      <c r="H41" s="1">
        <v>4</v>
      </c>
    </row>
    <row r="42" spans="1:8" x14ac:dyDescent="0.35">
      <c r="A42" s="1">
        <v>1041</v>
      </c>
      <c r="B42" s="2">
        <v>45698</v>
      </c>
      <c r="C42" s="1" t="s">
        <v>8</v>
      </c>
      <c r="D42" s="1" t="s">
        <v>12</v>
      </c>
      <c r="E42" s="1" t="s">
        <v>19</v>
      </c>
      <c r="F42" s="1">
        <v>17500</v>
      </c>
      <c r="G42" s="1">
        <v>2800</v>
      </c>
      <c r="H42" s="1">
        <v>2</v>
      </c>
    </row>
    <row r="43" spans="1:8" x14ac:dyDescent="0.35">
      <c r="A43" s="1">
        <v>1042</v>
      </c>
      <c r="B43" s="2">
        <v>45699</v>
      </c>
      <c r="C43" s="1" t="s">
        <v>11</v>
      </c>
      <c r="D43" s="1" t="s">
        <v>15</v>
      </c>
      <c r="E43" s="1" t="s">
        <v>20</v>
      </c>
      <c r="F43" s="1">
        <v>2300</v>
      </c>
      <c r="G43" s="1">
        <v>370</v>
      </c>
      <c r="H43" s="1">
        <v>6</v>
      </c>
    </row>
    <row r="44" spans="1:8" x14ac:dyDescent="0.35">
      <c r="A44" s="1">
        <v>1043</v>
      </c>
      <c r="B44" s="2">
        <v>45700</v>
      </c>
      <c r="C44" s="1" t="s">
        <v>14</v>
      </c>
      <c r="D44" s="1" t="s">
        <v>9</v>
      </c>
      <c r="E44" s="1" t="s">
        <v>21</v>
      </c>
      <c r="F44" s="1">
        <v>5600</v>
      </c>
      <c r="G44" s="1">
        <v>1050</v>
      </c>
      <c r="H44" s="1">
        <v>3</v>
      </c>
    </row>
    <row r="45" spans="1:8" x14ac:dyDescent="0.35">
      <c r="A45" s="1">
        <v>1044</v>
      </c>
      <c r="B45" s="2">
        <v>45701</v>
      </c>
      <c r="C45" s="1" t="s">
        <v>17</v>
      </c>
      <c r="D45" s="1" t="s">
        <v>12</v>
      </c>
      <c r="E45" s="1" t="s">
        <v>22</v>
      </c>
      <c r="F45" s="1">
        <v>44000</v>
      </c>
      <c r="G45" s="1">
        <v>7700</v>
      </c>
      <c r="H45" s="1">
        <v>1</v>
      </c>
    </row>
    <row r="46" spans="1:8" x14ac:dyDescent="0.35">
      <c r="A46" s="1">
        <v>1045</v>
      </c>
      <c r="B46" s="2">
        <v>45702</v>
      </c>
      <c r="C46" s="1" t="s">
        <v>8</v>
      </c>
      <c r="D46" s="1" t="s">
        <v>15</v>
      </c>
      <c r="E46" s="1" t="s">
        <v>23</v>
      </c>
      <c r="F46" s="1">
        <v>3300</v>
      </c>
      <c r="G46" s="1">
        <v>650</v>
      </c>
      <c r="H46" s="1">
        <v>4</v>
      </c>
    </row>
    <row r="47" spans="1:8" x14ac:dyDescent="0.35">
      <c r="A47" s="1">
        <v>1046</v>
      </c>
      <c r="B47" s="2">
        <v>45703</v>
      </c>
      <c r="C47" s="1" t="s">
        <v>11</v>
      </c>
      <c r="D47" s="1" t="s">
        <v>9</v>
      </c>
      <c r="E47" s="1" t="s">
        <v>24</v>
      </c>
      <c r="F47" s="1">
        <v>21000</v>
      </c>
      <c r="G47" s="1">
        <v>3600</v>
      </c>
      <c r="H47" s="1">
        <v>2</v>
      </c>
    </row>
    <row r="48" spans="1:8" x14ac:dyDescent="0.35">
      <c r="A48" s="1">
        <v>1047</v>
      </c>
      <c r="B48" s="2">
        <v>45704</v>
      </c>
      <c r="C48" s="1" t="s">
        <v>14</v>
      </c>
      <c r="D48" s="1" t="s">
        <v>12</v>
      </c>
      <c r="E48" s="1" t="s">
        <v>25</v>
      </c>
      <c r="F48" s="1">
        <v>38000</v>
      </c>
      <c r="G48" s="1">
        <v>6500</v>
      </c>
      <c r="H48" s="1">
        <v>1</v>
      </c>
    </row>
    <row r="49" spans="1:8" x14ac:dyDescent="0.35">
      <c r="A49" s="1">
        <v>1048</v>
      </c>
      <c r="B49" s="2">
        <v>45705</v>
      </c>
      <c r="C49" s="1" t="s">
        <v>17</v>
      </c>
      <c r="D49" s="1" t="s">
        <v>15</v>
      </c>
      <c r="E49" s="1" t="s">
        <v>26</v>
      </c>
      <c r="F49" s="1">
        <v>5000</v>
      </c>
      <c r="G49" s="1">
        <v>950</v>
      </c>
      <c r="H49" s="1">
        <v>5</v>
      </c>
    </row>
    <row r="50" spans="1:8" x14ac:dyDescent="0.35">
      <c r="A50" s="1">
        <v>1049</v>
      </c>
      <c r="B50" s="2">
        <v>45706</v>
      </c>
      <c r="C50" s="1" t="s">
        <v>8</v>
      </c>
      <c r="D50" s="1" t="s">
        <v>9</v>
      </c>
      <c r="E50" s="1" t="s">
        <v>10</v>
      </c>
      <c r="F50" s="1">
        <v>63000</v>
      </c>
      <c r="G50" s="1">
        <v>9800</v>
      </c>
      <c r="H50" s="1">
        <v>2</v>
      </c>
    </row>
    <row r="51" spans="1:8" x14ac:dyDescent="0.35">
      <c r="A51" s="1">
        <v>1050</v>
      </c>
      <c r="B51" s="2">
        <v>45707</v>
      </c>
      <c r="C51" s="1" t="s">
        <v>11</v>
      </c>
      <c r="D51" s="1" t="s">
        <v>12</v>
      </c>
      <c r="E51" s="1" t="s">
        <v>13</v>
      </c>
      <c r="F51" s="1">
        <v>8400</v>
      </c>
      <c r="G51" s="1">
        <v>1400</v>
      </c>
      <c r="H51" s="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DE8B-FF23-4930-B24A-0D3E38C5CD6B}">
  <dimension ref="A3:B6"/>
  <sheetViews>
    <sheetView workbookViewId="0">
      <selection activeCell="G6" sqref="G6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30</v>
      </c>
      <c r="B3" t="s">
        <v>34</v>
      </c>
    </row>
    <row r="4" spans="1:2" x14ac:dyDescent="0.35">
      <c r="A4" s="4" t="s">
        <v>31</v>
      </c>
      <c r="B4" s="5">
        <v>560600</v>
      </c>
    </row>
    <row r="5" spans="1:2" x14ac:dyDescent="0.35">
      <c r="A5" s="4" t="s">
        <v>32</v>
      </c>
      <c r="B5" s="5">
        <v>417500</v>
      </c>
    </row>
    <row r="6" spans="1:2" x14ac:dyDescent="0.35">
      <c r="A6" s="4" t="s">
        <v>33</v>
      </c>
      <c r="B6" s="5">
        <v>978100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B3D5-FBB3-4569-AF8D-C2F46189985F}">
  <dimension ref="A3:B7"/>
  <sheetViews>
    <sheetView workbookViewId="0">
      <selection activeCell="A3" sqref="A3:B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30</v>
      </c>
      <c r="B3" t="s">
        <v>34</v>
      </c>
    </row>
    <row r="4" spans="1:2" x14ac:dyDescent="0.35">
      <c r="A4" s="4" t="s">
        <v>15</v>
      </c>
      <c r="B4" s="6">
        <v>54500</v>
      </c>
    </row>
    <row r="5" spans="1:2" x14ac:dyDescent="0.35">
      <c r="A5" s="4" t="s">
        <v>9</v>
      </c>
      <c r="B5" s="6">
        <v>503200</v>
      </c>
    </row>
    <row r="6" spans="1:2" x14ac:dyDescent="0.35">
      <c r="A6" s="4" t="s">
        <v>12</v>
      </c>
      <c r="B6" s="6">
        <v>420400</v>
      </c>
    </row>
    <row r="7" spans="1:2" x14ac:dyDescent="0.35">
      <c r="A7" s="4" t="s">
        <v>33</v>
      </c>
      <c r="B7" s="6">
        <v>978100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B810-4400-4539-BE47-56E8CF47A8E6}">
  <dimension ref="A3:B14"/>
  <sheetViews>
    <sheetView workbookViewId="0">
      <selection activeCell="A3" sqref="A3:B14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3" t="s">
        <v>30</v>
      </c>
      <c r="B3" t="s">
        <v>34</v>
      </c>
    </row>
    <row r="4" spans="1:2" x14ac:dyDescent="0.35">
      <c r="A4" s="4" t="s">
        <v>25</v>
      </c>
      <c r="B4" s="6">
        <v>146000</v>
      </c>
    </row>
    <row r="5" spans="1:2" x14ac:dyDescent="0.35">
      <c r="A5" s="4" t="s">
        <v>13</v>
      </c>
      <c r="B5" s="6">
        <v>39900</v>
      </c>
    </row>
    <row r="6" spans="1:2" x14ac:dyDescent="0.35">
      <c r="A6" s="4" t="s">
        <v>21</v>
      </c>
      <c r="B6" s="6">
        <v>21200</v>
      </c>
    </row>
    <row r="7" spans="1:2" x14ac:dyDescent="0.35">
      <c r="A7" s="4" t="s">
        <v>16</v>
      </c>
      <c r="B7" s="6">
        <v>14300</v>
      </c>
    </row>
    <row r="8" spans="1:2" x14ac:dyDescent="0.35">
      <c r="A8" s="4" t="s">
        <v>10</v>
      </c>
      <c r="B8" s="6">
        <v>298000</v>
      </c>
    </row>
    <row r="9" spans="1:2" x14ac:dyDescent="0.35">
      <c r="A9" s="4" t="s">
        <v>18</v>
      </c>
      <c r="B9" s="6">
        <v>106000</v>
      </c>
    </row>
    <row r="10" spans="1:2" x14ac:dyDescent="0.35">
      <c r="A10" s="4" t="s">
        <v>26</v>
      </c>
      <c r="B10" s="6">
        <v>19000</v>
      </c>
    </row>
    <row r="11" spans="1:2" x14ac:dyDescent="0.35">
      <c r="A11" s="4" t="s">
        <v>22</v>
      </c>
      <c r="B11" s="6">
        <v>169000</v>
      </c>
    </row>
    <row r="12" spans="1:2" x14ac:dyDescent="0.35">
      <c r="A12" s="4" t="s">
        <v>19</v>
      </c>
      <c r="B12" s="6">
        <v>65500</v>
      </c>
    </row>
    <row r="13" spans="1:2" x14ac:dyDescent="0.35">
      <c r="A13" s="4" t="s">
        <v>24</v>
      </c>
      <c r="B13" s="6">
        <v>78000</v>
      </c>
    </row>
    <row r="14" spans="1:2" x14ac:dyDescent="0.35">
      <c r="A14" s="4" t="s">
        <v>33</v>
      </c>
      <c r="B14" s="6">
        <v>956900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EAE9-4766-4C09-8813-31A6D42D4D67}">
  <dimension ref="M25"/>
  <sheetViews>
    <sheetView showGridLines="0" tabSelected="1" zoomScale="71" workbookViewId="0">
      <selection activeCell="M11" sqref="M11"/>
    </sheetView>
  </sheetViews>
  <sheetFormatPr defaultRowHeight="14.5" x14ac:dyDescent="0.35"/>
  <cols>
    <col min="1" max="1" width="17.1796875" customWidth="1"/>
  </cols>
  <sheetData>
    <row r="25" spans="13:13" x14ac:dyDescent="0.35">
      <c r="M25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5588-F248-438E-BBCC-AAC0006A16B1}">
  <dimension ref="A1:K51"/>
  <sheetViews>
    <sheetView topLeftCell="A2" workbookViewId="0">
      <selection sqref="A1:K51"/>
    </sheetView>
  </sheetViews>
  <sheetFormatPr defaultRowHeight="14.5" x14ac:dyDescent="0.35"/>
  <cols>
    <col min="1" max="1" width="17.54296875" customWidth="1"/>
    <col min="2" max="2" width="17.453125" customWidth="1"/>
    <col min="3" max="3" width="17.26953125" customWidth="1"/>
    <col min="4" max="4" width="17.36328125" customWidth="1"/>
    <col min="5" max="5" width="17.54296875" customWidth="1"/>
    <col min="6" max="7" width="17.453125" customWidth="1"/>
    <col min="8" max="8" width="18.08984375" customWidth="1"/>
    <col min="9" max="9" width="17.36328125" customWidth="1"/>
    <col min="10" max="11" width="17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  <c r="K1" s="1" t="s">
        <v>29</v>
      </c>
    </row>
    <row r="2" spans="1:11" x14ac:dyDescent="0.35">
      <c r="A2" s="1">
        <v>1001</v>
      </c>
      <c r="B2" s="2">
        <v>45658</v>
      </c>
      <c r="C2" s="1" t="s">
        <v>8</v>
      </c>
      <c r="D2" s="1" t="s">
        <v>9</v>
      </c>
      <c r="E2" s="1" t="s">
        <v>10</v>
      </c>
      <c r="F2" s="1">
        <v>55000</v>
      </c>
      <c r="G2" s="1">
        <v>8500</v>
      </c>
      <c r="H2" s="1">
        <v>2</v>
      </c>
      <c r="I2" s="1" t="str">
        <f t="shared" ref="I2:I33" si="0">TEXT(B2,"mmm")</f>
        <v>Jan</v>
      </c>
      <c r="J2" s="1">
        <f t="shared" ref="J2:J33" si="1">YEAR(B2)</f>
        <v>2025</v>
      </c>
      <c r="K2" s="1">
        <f t="shared" ref="K2:K33" si="2">G2/F2</f>
        <v>0.15454545454545454</v>
      </c>
    </row>
    <row r="3" spans="1:11" x14ac:dyDescent="0.35">
      <c r="A3" s="1">
        <v>1002</v>
      </c>
      <c r="B3" s="2">
        <v>45659</v>
      </c>
      <c r="C3" s="1" t="s">
        <v>11</v>
      </c>
      <c r="D3" s="1" t="s">
        <v>12</v>
      </c>
      <c r="E3" s="1" t="s">
        <v>13</v>
      </c>
      <c r="F3" s="1">
        <v>8000</v>
      </c>
      <c r="G3" s="1">
        <v>1200</v>
      </c>
      <c r="H3" s="1">
        <v>4</v>
      </c>
      <c r="I3" s="1" t="str">
        <f t="shared" si="0"/>
        <v>Jan</v>
      </c>
      <c r="J3" s="1">
        <f t="shared" si="1"/>
        <v>2025</v>
      </c>
      <c r="K3" s="1">
        <f t="shared" si="2"/>
        <v>0.15</v>
      </c>
    </row>
    <row r="4" spans="1:11" x14ac:dyDescent="0.35">
      <c r="A4" s="1">
        <v>1003</v>
      </c>
      <c r="B4" s="2">
        <v>45660</v>
      </c>
      <c r="C4" s="1" t="s">
        <v>14</v>
      </c>
      <c r="D4" s="1" t="s">
        <v>15</v>
      </c>
      <c r="E4" s="1" t="s">
        <v>16</v>
      </c>
      <c r="F4" s="1">
        <v>3500</v>
      </c>
      <c r="G4" s="1">
        <v>600</v>
      </c>
      <c r="H4" s="1">
        <v>3</v>
      </c>
      <c r="I4" s="1" t="str">
        <f t="shared" si="0"/>
        <v>Jan</v>
      </c>
      <c r="J4" s="1">
        <f t="shared" si="1"/>
        <v>2025</v>
      </c>
      <c r="K4" s="1">
        <f t="shared" si="2"/>
        <v>0.17142857142857143</v>
      </c>
    </row>
    <row r="5" spans="1:11" x14ac:dyDescent="0.35">
      <c r="A5" s="1">
        <v>1004</v>
      </c>
      <c r="B5" s="2">
        <v>45661</v>
      </c>
      <c r="C5" s="1" t="s">
        <v>17</v>
      </c>
      <c r="D5" s="1" t="s">
        <v>9</v>
      </c>
      <c r="E5" s="1" t="s">
        <v>18</v>
      </c>
      <c r="F5" s="1">
        <v>25000</v>
      </c>
      <c r="G5" s="1">
        <v>4000</v>
      </c>
      <c r="H5" s="1">
        <v>5</v>
      </c>
      <c r="I5" s="1" t="str">
        <f t="shared" si="0"/>
        <v>Jan</v>
      </c>
      <c r="J5" s="1">
        <f t="shared" si="1"/>
        <v>2025</v>
      </c>
      <c r="K5" s="1">
        <f t="shared" si="2"/>
        <v>0.16</v>
      </c>
    </row>
    <row r="6" spans="1:11" x14ac:dyDescent="0.35">
      <c r="A6" s="1">
        <v>1005</v>
      </c>
      <c r="B6" s="2">
        <v>45662</v>
      </c>
      <c r="C6" s="1" t="s">
        <v>8</v>
      </c>
      <c r="D6" s="1" t="s">
        <v>12</v>
      </c>
      <c r="E6" s="1" t="s">
        <v>19</v>
      </c>
      <c r="F6" s="1">
        <v>15000</v>
      </c>
      <c r="G6" s="1">
        <v>2500</v>
      </c>
      <c r="H6" s="1">
        <v>2</v>
      </c>
      <c r="I6" s="1" t="str">
        <f t="shared" si="0"/>
        <v>Jan</v>
      </c>
      <c r="J6" s="1">
        <f t="shared" si="1"/>
        <v>2025</v>
      </c>
      <c r="K6" s="1">
        <f t="shared" si="2"/>
        <v>0.16666666666666666</v>
      </c>
    </row>
    <row r="7" spans="1:11" x14ac:dyDescent="0.35">
      <c r="A7" s="1">
        <v>1006</v>
      </c>
      <c r="B7" s="2">
        <v>45663</v>
      </c>
      <c r="C7" s="1" t="s">
        <v>11</v>
      </c>
      <c r="D7" s="1" t="s">
        <v>15</v>
      </c>
      <c r="E7" s="1" t="s">
        <v>20</v>
      </c>
      <c r="F7" s="1">
        <v>2000</v>
      </c>
      <c r="G7" s="1">
        <v>300</v>
      </c>
      <c r="H7" s="1">
        <v>6</v>
      </c>
      <c r="I7" s="1" t="str">
        <f t="shared" si="0"/>
        <v>Jan</v>
      </c>
      <c r="J7" s="1">
        <f t="shared" si="1"/>
        <v>2025</v>
      </c>
      <c r="K7" s="1">
        <f t="shared" si="2"/>
        <v>0.15</v>
      </c>
    </row>
    <row r="8" spans="1:11" x14ac:dyDescent="0.35">
      <c r="A8" s="1">
        <v>1007</v>
      </c>
      <c r="B8" s="2">
        <v>45664</v>
      </c>
      <c r="C8" s="1" t="s">
        <v>14</v>
      </c>
      <c r="D8" s="1" t="s">
        <v>9</v>
      </c>
      <c r="E8" s="1" t="s">
        <v>21</v>
      </c>
      <c r="F8" s="1">
        <v>5000</v>
      </c>
      <c r="G8" s="1">
        <v>900</v>
      </c>
      <c r="H8" s="1">
        <v>4</v>
      </c>
      <c r="I8" s="1" t="str">
        <f t="shared" si="0"/>
        <v>Jan</v>
      </c>
      <c r="J8" s="1">
        <f t="shared" si="1"/>
        <v>2025</v>
      </c>
      <c r="K8" s="1">
        <f t="shared" si="2"/>
        <v>0.18</v>
      </c>
    </row>
    <row r="9" spans="1:11" x14ac:dyDescent="0.35">
      <c r="A9" s="1">
        <v>1008</v>
      </c>
      <c r="B9" s="2">
        <v>45665</v>
      </c>
      <c r="C9" s="1" t="s">
        <v>17</v>
      </c>
      <c r="D9" s="1" t="s">
        <v>12</v>
      </c>
      <c r="E9" s="1" t="s">
        <v>22</v>
      </c>
      <c r="F9" s="1">
        <v>40000</v>
      </c>
      <c r="G9" s="1">
        <v>7000</v>
      </c>
      <c r="H9" s="1">
        <v>1</v>
      </c>
      <c r="I9" s="1" t="str">
        <f t="shared" si="0"/>
        <v>Jan</v>
      </c>
      <c r="J9" s="1">
        <f t="shared" si="1"/>
        <v>2025</v>
      </c>
      <c r="K9" s="1">
        <f t="shared" si="2"/>
        <v>0.17499999999999999</v>
      </c>
    </row>
    <row r="10" spans="1:11" x14ac:dyDescent="0.35">
      <c r="A10" s="1">
        <v>1009</v>
      </c>
      <c r="B10" s="2">
        <v>45666</v>
      </c>
      <c r="C10" s="1" t="s">
        <v>8</v>
      </c>
      <c r="D10" s="1" t="s">
        <v>15</v>
      </c>
      <c r="E10" s="1" t="s">
        <v>23</v>
      </c>
      <c r="F10" s="1">
        <v>3000</v>
      </c>
      <c r="G10" s="1">
        <v>500</v>
      </c>
      <c r="H10" s="1">
        <v>3</v>
      </c>
      <c r="I10" s="1" t="str">
        <f t="shared" si="0"/>
        <v>Jan</v>
      </c>
      <c r="J10" s="1">
        <f t="shared" si="1"/>
        <v>2025</v>
      </c>
      <c r="K10" s="1">
        <f t="shared" si="2"/>
        <v>0.16666666666666666</v>
      </c>
    </row>
    <row r="11" spans="1:11" x14ac:dyDescent="0.35">
      <c r="A11" s="1">
        <v>1010</v>
      </c>
      <c r="B11" s="2">
        <v>45667</v>
      </c>
      <c r="C11" s="1" t="s">
        <v>11</v>
      </c>
      <c r="D11" s="1" t="s">
        <v>9</v>
      </c>
      <c r="E11" s="1" t="s">
        <v>24</v>
      </c>
      <c r="F11" s="1">
        <v>18000</v>
      </c>
      <c r="G11" s="1">
        <v>3000</v>
      </c>
      <c r="H11" s="1">
        <v>2</v>
      </c>
      <c r="I11" s="1" t="str">
        <f t="shared" si="0"/>
        <v>Jan</v>
      </c>
      <c r="J11" s="1">
        <f t="shared" si="1"/>
        <v>2025</v>
      </c>
      <c r="K11" s="1">
        <f t="shared" si="2"/>
        <v>0.16666666666666666</v>
      </c>
    </row>
    <row r="12" spans="1:11" x14ac:dyDescent="0.35">
      <c r="A12" s="1">
        <v>1011</v>
      </c>
      <c r="B12" s="2">
        <v>45668</v>
      </c>
      <c r="C12" s="1" t="s">
        <v>14</v>
      </c>
      <c r="D12" s="1" t="s">
        <v>12</v>
      </c>
      <c r="E12" s="1" t="s">
        <v>25</v>
      </c>
      <c r="F12" s="1">
        <v>35000</v>
      </c>
      <c r="G12" s="1">
        <v>6000</v>
      </c>
      <c r="H12" s="1">
        <v>1</v>
      </c>
      <c r="I12" s="1" t="str">
        <f t="shared" si="0"/>
        <v>Jan</v>
      </c>
      <c r="J12" s="1">
        <f t="shared" si="1"/>
        <v>2025</v>
      </c>
      <c r="K12" s="1">
        <f t="shared" si="2"/>
        <v>0.17142857142857143</v>
      </c>
    </row>
    <row r="13" spans="1:11" x14ac:dyDescent="0.35">
      <c r="A13" s="1">
        <v>1012</v>
      </c>
      <c r="B13" s="2">
        <v>45669</v>
      </c>
      <c r="C13" s="1" t="s">
        <v>17</v>
      </c>
      <c r="D13" s="1" t="s">
        <v>15</v>
      </c>
      <c r="E13" s="1" t="s">
        <v>26</v>
      </c>
      <c r="F13" s="1">
        <v>4500</v>
      </c>
      <c r="G13" s="1">
        <v>800</v>
      </c>
      <c r="H13" s="1">
        <v>4</v>
      </c>
      <c r="I13" s="1" t="str">
        <f t="shared" si="0"/>
        <v>Jan</v>
      </c>
      <c r="J13" s="1">
        <f t="shared" si="1"/>
        <v>2025</v>
      </c>
      <c r="K13" s="1">
        <f t="shared" si="2"/>
        <v>0.17777777777777778</v>
      </c>
    </row>
    <row r="14" spans="1:11" x14ac:dyDescent="0.35">
      <c r="A14" s="1">
        <v>1013</v>
      </c>
      <c r="B14" s="2">
        <v>45670</v>
      </c>
      <c r="C14" s="1" t="s">
        <v>8</v>
      </c>
      <c r="D14" s="1" t="s">
        <v>9</v>
      </c>
      <c r="E14" s="1" t="s">
        <v>10</v>
      </c>
      <c r="F14" s="1">
        <v>60000</v>
      </c>
      <c r="G14" s="1">
        <v>9000</v>
      </c>
      <c r="H14" s="1">
        <v>2</v>
      </c>
      <c r="I14" s="1" t="str">
        <f t="shared" si="0"/>
        <v>Jan</v>
      </c>
      <c r="J14" s="1">
        <f t="shared" si="1"/>
        <v>2025</v>
      </c>
      <c r="K14" s="1">
        <f t="shared" si="2"/>
        <v>0.15</v>
      </c>
    </row>
    <row r="15" spans="1:11" x14ac:dyDescent="0.35">
      <c r="A15" s="1">
        <v>1014</v>
      </c>
      <c r="B15" s="2">
        <v>45671</v>
      </c>
      <c r="C15" s="1" t="s">
        <v>11</v>
      </c>
      <c r="D15" s="1" t="s">
        <v>12</v>
      </c>
      <c r="E15" s="1" t="s">
        <v>13</v>
      </c>
      <c r="F15" s="1">
        <v>7500</v>
      </c>
      <c r="G15" s="1">
        <v>1100</v>
      </c>
      <c r="H15" s="1">
        <v>5</v>
      </c>
      <c r="I15" s="1" t="str">
        <f t="shared" si="0"/>
        <v>Jan</v>
      </c>
      <c r="J15" s="1">
        <f t="shared" si="1"/>
        <v>2025</v>
      </c>
      <c r="K15" s="1">
        <f t="shared" si="2"/>
        <v>0.14666666666666667</v>
      </c>
    </row>
    <row r="16" spans="1:11" x14ac:dyDescent="0.35">
      <c r="A16" s="1">
        <v>1015</v>
      </c>
      <c r="B16" s="2">
        <v>45672</v>
      </c>
      <c r="C16" s="1" t="s">
        <v>14</v>
      </c>
      <c r="D16" s="1" t="s">
        <v>15</v>
      </c>
      <c r="E16" s="1" t="s">
        <v>16</v>
      </c>
      <c r="F16" s="1">
        <v>3800</v>
      </c>
      <c r="G16" s="1">
        <v>650</v>
      </c>
      <c r="H16" s="1">
        <v>2</v>
      </c>
      <c r="I16" s="1" t="str">
        <f t="shared" si="0"/>
        <v>Jan</v>
      </c>
      <c r="J16" s="1">
        <f t="shared" si="1"/>
        <v>2025</v>
      </c>
      <c r="K16" s="1">
        <f t="shared" si="2"/>
        <v>0.17105263157894737</v>
      </c>
    </row>
    <row r="17" spans="1:11" x14ac:dyDescent="0.35">
      <c r="A17" s="1">
        <v>1016</v>
      </c>
      <c r="B17" s="2">
        <v>45673</v>
      </c>
      <c r="C17" s="1" t="s">
        <v>17</v>
      </c>
      <c r="D17" s="1" t="s">
        <v>9</v>
      </c>
      <c r="E17" s="1" t="s">
        <v>18</v>
      </c>
      <c r="F17" s="1">
        <v>27000</v>
      </c>
      <c r="G17" s="1">
        <v>4200</v>
      </c>
      <c r="H17" s="1">
        <v>4</v>
      </c>
      <c r="I17" s="1" t="str">
        <f t="shared" si="0"/>
        <v>Jan</v>
      </c>
      <c r="J17" s="1">
        <f t="shared" si="1"/>
        <v>2025</v>
      </c>
      <c r="K17" s="1">
        <f t="shared" si="2"/>
        <v>0.15555555555555556</v>
      </c>
    </row>
    <row r="18" spans="1:11" x14ac:dyDescent="0.35">
      <c r="A18" s="1">
        <v>1017</v>
      </c>
      <c r="B18" s="2">
        <v>45674</v>
      </c>
      <c r="C18" s="1" t="s">
        <v>8</v>
      </c>
      <c r="D18" s="1" t="s">
        <v>12</v>
      </c>
      <c r="E18" s="1" t="s">
        <v>19</v>
      </c>
      <c r="F18" s="1">
        <v>16000</v>
      </c>
      <c r="G18" s="1">
        <v>2600</v>
      </c>
      <c r="H18" s="1">
        <v>2</v>
      </c>
      <c r="I18" s="1" t="str">
        <f t="shared" si="0"/>
        <v>Jan</v>
      </c>
      <c r="J18" s="1">
        <f t="shared" si="1"/>
        <v>2025</v>
      </c>
      <c r="K18" s="1">
        <f t="shared" si="2"/>
        <v>0.16250000000000001</v>
      </c>
    </row>
    <row r="19" spans="1:11" x14ac:dyDescent="0.35">
      <c r="A19" s="1">
        <v>1018</v>
      </c>
      <c r="B19" s="2">
        <v>45675</v>
      </c>
      <c r="C19" s="1" t="s">
        <v>11</v>
      </c>
      <c r="D19" s="1" t="s">
        <v>15</v>
      </c>
      <c r="E19" s="1" t="s">
        <v>20</v>
      </c>
      <c r="F19" s="1">
        <v>2200</v>
      </c>
      <c r="G19" s="1">
        <v>350</v>
      </c>
      <c r="H19" s="1">
        <v>7</v>
      </c>
      <c r="I19" s="1" t="str">
        <f t="shared" si="0"/>
        <v>Jan</v>
      </c>
      <c r="J19" s="1">
        <f t="shared" si="1"/>
        <v>2025</v>
      </c>
      <c r="K19" s="1">
        <f t="shared" si="2"/>
        <v>0.15909090909090909</v>
      </c>
    </row>
    <row r="20" spans="1:11" x14ac:dyDescent="0.35">
      <c r="A20" s="1">
        <v>1019</v>
      </c>
      <c r="B20" s="2">
        <v>45676</v>
      </c>
      <c r="C20" s="1" t="s">
        <v>14</v>
      </c>
      <c r="D20" s="1" t="s">
        <v>9</v>
      </c>
      <c r="E20" s="1" t="s">
        <v>21</v>
      </c>
      <c r="F20" s="1">
        <v>5200</v>
      </c>
      <c r="G20" s="1">
        <v>950</v>
      </c>
      <c r="H20" s="1">
        <v>3</v>
      </c>
      <c r="I20" s="1" t="str">
        <f t="shared" si="0"/>
        <v>Jan</v>
      </c>
      <c r="J20" s="1">
        <f t="shared" si="1"/>
        <v>2025</v>
      </c>
      <c r="K20" s="1">
        <f t="shared" si="2"/>
        <v>0.18269230769230768</v>
      </c>
    </row>
    <row r="21" spans="1:11" x14ac:dyDescent="0.35">
      <c r="A21" s="1">
        <v>1020</v>
      </c>
      <c r="B21" s="2">
        <v>45677</v>
      </c>
      <c r="C21" s="1" t="s">
        <v>17</v>
      </c>
      <c r="D21" s="1" t="s">
        <v>12</v>
      </c>
      <c r="E21" s="1" t="s">
        <v>22</v>
      </c>
      <c r="F21" s="1">
        <v>42000</v>
      </c>
      <c r="G21" s="1">
        <v>7200</v>
      </c>
      <c r="H21" s="1">
        <v>1</v>
      </c>
      <c r="I21" s="1" t="str">
        <f t="shared" si="0"/>
        <v>Jan</v>
      </c>
      <c r="J21" s="1">
        <f t="shared" si="1"/>
        <v>2025</v>
      </c>
      <c r="K21" s="1">
        <f t="shared" si="2"/>
        <v>0.17142857142857143</v>
      </c>
    </row>
    <row r="22" spans="1:11" x14ac:dyDescent="0.35">
      <c r="A22" s="1">
        <v>1021</v>
      </c>
      <c r="B22" s="2">
        <v>45678</v>
      </c>
      <c r="C22" s="1" t="s">
        <v>8</v>
      </c>
      <c r="D22" s="1" t="s">
        <v>15</v>
      </c>
      <c r="E22" s="1" t="s">
        <v>23</v>
      </c>
      <c r="F22" s="1">
        <v>3100</v>
      </c>
      <c r="G22" s="1">
        <v>550</v>
      </c>
      <c r="H22" s="1">
        <v>4</v>
      </c>
      <c r="I22" s="1" t="str">
        <f t="shared" si="0"/>
        <v>Jan</v>
      </c>
      <c r="J22" s="1">
        <f t="shared" si="1"/>
        <v>2025</v>
      </c>
      <c r="K22" s="1">
        <f t="shared" si="2"/>
        <v>0.17741935483870969</v>
      </c>
    </row>
    <row r="23" spans="1:11" x14ac:dyDescent="0.35">
      <c r="A23" s="1">
        <v>1022</v>
      </c>
      <c r="B23" s="2">
        <v>45679</v>
      </c>
      <c r="C23" s="1" t="s">
        <v>11</v>
      </c>
      <c r="D23" s="1" t="s">
        <v>9</v>
      </c>
      <c r="E23" s="1" t="s">
        <v>24</v>
      </c>
      <c r="F23" s="1">
        <v>19000</v>
      </c>
      <c r="G23" s="1">
        <v>3200</v>
      </c>
      <c r="H23" s="1">
        <v>3</v>
      </c>
      <c r="I23" s="1" t="str">
        <f t="shared" si="0"/>
        <v>Jan</v>
      </c>
      <c r="J23" s="1">
        <f t="shared" si="1"/>
        <v>2025</v>
      </c>
      <c r="K23" s="1">
        <f t="shared" si="2"/>
        <v>0.16842105263157894</v>
      </c>
    </row>
    <row r="24" spans="1:11" x14ac:dyDescent="0.35">
      <c r="A24" s="1">
        <v>1023</v>
      </c>
      <c r="B24" s="2">
        <v>45680</v>
      </c>
      <c r="C24" s="1" t="s">
        <v>14</v>
      </c>
      <c r="D24" s="1" t="s">
        <v>12</v>
      </c>
      <c r="E24" s="1" t="s">
        <v>25</v>
      </c>
      <c r="F24" s="1">
        <v>36000</v>
      </c>
      <c r="G24" s="1">
        <v>6100</v>
      </c>
      <c r="H24" s="1">
        <v>1</v>
      </c>
      <c r="I24" s="1" t="str">
        <f t="shared" si="0"/>
        <v>Jan</v>
      </c>
      <c r="J24" s="1">
        <f t="shared" si="1"/>
        <v>2025</v>
      </c>
      <c r="K24" s="1">
        <f t="shared" si="2"/>
        <v>0.16944444444444445</v>
      </c>
    </row>
    <row r="25" spans="1:11" x14ac:dyDescent="0.35">
      <c r="A25" s="1">
        <v>1024</v>
      </c>
      <c r="B25" s="2">
        <v>45681</v>
      </c>
      <c r="C25" s="1" t="s">
        <v>17</v>
      </c>
      <c r="D25" s="1" t="s">
        <v>15</v>
      </c>
      <c r="E25" s="1" t="s">
        <v>26</v>
      </c>
      <c r="F25" s="1">
        <v>4700</v>
      </c>
      <c r="G25" s="1">
        <v>850</v>
      </c>
      <c r="H25" s="1">
        <v>5</v>
      </c>
      <c r="I25" s="1" t="str">
        <f t="shared" si="0"/>
        <v>Jan</v>
      </c>
      <c r="J25" s="1">
        <f t="shared" si="1"/>
        <v>2025</v>
      </c>
      <c r="K25" s="1">
        <f t="shared" si="2"/>
        <v>0.18085106382978725</v>
      </c>
    </row>
    <row r="26" spans="1:11" x14ac:dyDescent="0.35">
      <c r="A26" s="1">
        <v>1025</v>
      </c>
      <c r="B26" s="2">
        <v>45682</v>
      </c>
      <c r="C26" s="1" t="s">
        <v>8</v>
      </c>
      <c r="D26" s="1" t="s">
        <v>9</v>
      </c>
      <c r="E26" s="1" t="s">
        <v>10</v>
      </c>
      <c r="F26" s="1">
        <v>58000</v>
      </c>
      <c r="G26" s="1">
        <v>8800</v>
      </c>
      <c r="H26" s="1">
        <v>2</v>
      </c>
      <c r="I26" s="1" t="str">
        <f t="shared" si="0"/>
        <v>Jan</v>
      </c>
      <c r="J26" s="1">
        <f t="shared" si="1"/>
        <v>2025</v>
      </c>
      <c r="K26" s="1">
        <f t="shared" si="2"/>
        <v>0.15172413793103448</v>
      </c>
    </row>
    <row r="27" spans="1:11" x14ac:dyDescent="0.35">
      <c r="A27" s="1">
        <v>1026</v>
      </c>
      <c r="B27" s="2">
        <v>45683</v>
      </c>
      <c r="C27" s="1" t="s">
        <v>11</v>
      </c>
      <c r="D27" s="1" t="s">
        <v>12</v>
      </c>
      <c r="E27" s="1" t="s">
        <v>13</v>
      </c>
      <c r="F27" s="1">
        <v>8200</v>
      </c>
      <c r="G27" s="1">
        <v>1300</v>
      </c>
      <c r="H27" s="1">
        <v>4</v>
      </c>
      <c r="I27" s="1" t="str">
        <f t="shared" si="0"/>
        <v>Jan</v>
      </c>
      <c r="J27" s="1">
        <f t="shared" si="1"/>
        <v>2025</v>
      </c>
      <c r="K27" s="1">
        <f t="shared" si="2"/>
        <v>0.15853658536585366</v>
      </c>
    </row>
    <row r="28" spans="1:11" x14ac:dyDescent="0.35">
      <c r="A28" s="1">
        <v>1027</v>
      </c>
      <c r="B28" s="2">
        <v>45684</v>
      </c>
      <c r="C28" s="1" t="s">
        <v>14</v>
      </c>
      <c r="D28" s="1" t="s">
        <v>15</v>
      </c>
      <c r="E28" s="1" t="s">
        <v>16</v>
      </c>
      <c r="F28" s="1">
        <v>3400</v>
      </c>
      <c r="G28" s="1">
        <v>580</v>
      </c>
      <c r="H28" s="1">
        <v>3</v>
      </c>
      <c r="I28" s="1" t="str">
        <f t="shared" si="0"/>
        <v>Jan</v>
      </c>
      <c r="J28" s="1">
        <f t="shared" si="1"/>
        <v>2025</v>
      </c>
      <c r="K28" s="1">
        <f t="shared" si="2"/>
        <v>0.17058823529411765</v>
      </c>
    </row>
    <row r="29" spans="1:11" x14ac:dyDescent="0.35">
      <c r="A29" s="1">
        <v>1028</v>
      </c>
      <c r="B29" s="2">
        <v>45685</v>
      </c>
      <c r="C29" s="1" t="s">
        <v>17</v>
      </c>
      <c r="D29" s="1" t="s">
        <v>9</v>
      </c>
      <c r="E29" s="1" t="s">
        <v>18</v>
      </c>
      <c r="F29" s="1">
        <v>26000</v>
      </c>
      <c r="G29" s="1">
        <v>4100</v>
      </c>
      <c r="H29" s="1">
        <v>5</v>
      </c>
      <c r="I29" s="1" t="str">
        <f t="shared" si="0"/>
        <v>Jan</v>
      </c>
      <c r="J29" s="1">
        <f t="shared" si="1"/>
        <v>2025</v>
      </c>
      <c r="K29" s="1">
        <f t="shared" si="2"/>
        <v>0.15769230769230769</v>
      </c>
    </row>
    <row r="30" spans="1:11" x14ac:dyDescent="0.35">
      <c r="A30" s="1">
        <v>1029</v>
      </c>
      <c r="B30" s="2">
        <v>45686</v>
      </c>
      <c r="C30" s="1" t="s">
        <v>8</v>
      </c>
      <c r="D30" s="1" t="s">
        <v>12</v>
      </c>
      <c r="E30" s="1" t="s">
        <v>19</v>
      </c>
      <c r="F30" s="1">
        <v>17000</v>
      </c>
      <c r="G30" s="1">
        <v>2700</v>
      </c>
      <c r="H30" s="1">
        <v>2</v>
      </c>
      <c r="I30" s="1" t="str">
        <f t="shared" si="0"/>
        <v>Jan</v>
      </c>
      <c r="J30" s="1">
        <f t="shared" si="1"/>
        <v>2025</v>
      </c>
      <c r="K30" s="1">
        <f t="shared" si="2"/>
        <v>0.1588235294117647</v>
      </c>
    </row>
    <row r="31" spans="1:11" x14ac:dyDescent="0.35">
      <c r="A31" s="1">
        <v>1030</v>
      </c>
      <c r="B31" s="2">
        <v>45687</v>
      </c>
      <c r="C31" s="1" t="s">
        <v>11</v>
      </c>
      <c r="D31" s="1" t="s">
        <v>15</v>
      </c>
      <c r="E31" s="1" t="s">
        <v>20</v>
      </c>
      <c r="F31" s="1">
        <v>2100</v>
      </c>
      <c r="G31" s="1">
        <v>320</v>
      </c>
      <c r="H31" s="1">
        <v>6</v>
      </c>
      <c r="I31" s="1" t="str">
        <f t="shared" si="0"/>
        <v>Jan</v>
      </c>
      <c r="J31" s="1">
        <f t="shared" si="1"/>
        <v>2025</v>
      </c>
      <c r="K31" s="1">
        <f t="shared" si="2"/>
        <v>0.15238095238095239</v>
      </c>
    </row>
    <row r="32" spans="1:11" x14ac:dyDescent="0.35">
      <c r="A32" s="1">
        <v>1031</v>
      </c>
      <c r="B32" s="2">
        <v>45688</v>
      </c>
      <c r="C32" s="1" t="s">
        <v>14</v>
      </c>
      <c r="D32" s="1" t="s">
        <v>9</v>
      </c>
      <c r="E32" s="1" t="s">
        <v>21</v>
      </c>
      <c r="F32" s="1">
        <v>5400</v>
      </c>
      <c r="G32" s="1">
        <v>1000</v>
      </c>
      <c r="H32" s="1">
        <v>4</v>
      </c>
      <c r="I32" s="1" t="str">
        <f t="shared" si="0"/>
        <v>Jan</v>
      </c>
      <c r="J32" s="1">
        <f t="shared" si="1"/>
        <v>2025</v>
      </c>
      <c r="K32" s="1">
        <f t="shared" si="2"/>
        <v>0.18518518518518517</v>
      </c>
    </row>
    <row r="33" spans="1:11" x14ac:dyDescent="0.35">
      <c r="A33" s="1">
        <v>1032</v>
      </c>
      <c r="B33" s="2">
        <v>45689</v>
      </c>
      <c r="C33" s="1" t="s">
        <v>17</v>
      </c>
      <c r="D33" s="1" t="s">
        <v>12</v>
      </c>
      <c r="E33" s="1" t="s">
        <v>22</v>
      </c>
      <c r="F33" s="1">
        <v>43000</v>
      </c>
      <c r="G33" s="1">
        <v>7500</v>
      </c>
      <c r="H33" s="1">
        <v>1</v>
      </c>
      <c r="I33" s="1" t="str">
        <f t="shared" si="0"/>
        <v>Feb</v>
      </c>
      <c r="J33" s="1">
        <f t="shared" si="1"/>
        <v>2025</v>
      </c>
      <c r="K33" s="1">
        <f t="shared" si="2"/>
        <v>0.1744186046511628</v>
      </c>
    </row>
    <row r="34" spans="1:11" x14ac:dyDescent="0.35">
      <c r="A34" s="1">
        <v>1033</v>
      </c>
      <c r="B34" s="2">
        <v>45690</v>
      </c>
      <c r="C34" s="1" t="s">
        <v>8</v>
      </c>
      <c r="D34" s="1" t="s">
        <v>15</v>
      </c>
      <c r="E34" s="1" t="s">
        <v>23</v>
      </c>
      <c r="F34" s="1">
        <v>3200</v>
      </c>
      <c r="G34" s="1">
        <v>600</v>
      </c>
      <c r="H34" s="1">
        <v>3</v>
      </c>
      <c r="I34" s="1" t="str">
        <f t="shared" ref="I34:I51" si="3">TEXT(B34,"mmm")</f>
        <v>Feb</v>
      </c>
      <c r="J34" s="1">
        <f t="shared" ref="J34:J51" si="4">YEAR(B34)</f>
        <v>2025</v>
      </c>
      <c r="K34" s="1">
        <f t="shared" ref="K34:K51" si="5">G34/F34</f>
        <v>0.1875</v>
      </c>
    </row>
    <row r="35" spans="1:11" x14ac:dyDescent="0.35">
      <c r="A35" s="1">
        <v>1034</v>
      </c>
      <c r="B35" s="2">
        <v>45691</v>
      </c>
      <c r="C35" s="1" t="s">
        <v>11</v>
      </c>
      <c r="D35" s="1" t="s">
        <v>9</v>
      </c>
      <c r="E35" s="1" t="s">
        <v>24</v>
      </c>
      <c r="F35" s="1">
        <v>20000</v>
      </c>
      <c r="G35" s="1">
        <v>3400</v>
      </c>
      <c r="H35" s="1">
        <v>2</v>
      </c>
      <c r="I35" s="1" t="str">
        <f t="shared" si="3"/>
        <v>Feb</v>
      </c>
      <c r="J35" s="1">
        <f t="shared" si="4"/>
        <v>2025</v>
      </c>
      <c r="K35" s="1">
        <f t="shared" si="5"/>
        <v>0.17</v>
      </c>
    </row>
    <row r="36" spans="1:11" x14ac:dyDescent="0.35">
      <c r="A36" s="1">
        <v>1035</v>
      </c>
      <c r="B36" s="2">
        <v>45692</v>
      </c>
      <c r="C36" s="1" t="s">
        <v>14</v>
      </c>
      <c r="D36" s="1" t="s">
        <v>12</v>
      </c>
      <c r="E36" s="1" t="s">
        <v>25</v>
      </c>
      <c r="F36" s="1">
        <v>37000</v>
      </c>
      <c r="G36" s="1">
        <v>6300</v>
      </c>
      <c r="H36" s="1">
        <v>1</v>
      </c>
      <c r="I36" s="1" t="str">
        <f t="shared" si="3"/>
        <v>Feb</v>
      </c>
      <c r="J36" s="1">
        <f t="shared" si="4"/>
        <v>2025</v>
      </c>
      <c r="K36" s="1">
        <f t="shared" si="5"/>
        <v>0.17027027027027028</v>
      </c>
    </row>
    <row r="37" spans="1:11" x14ac:dyDescent="0.35">
      <c r="A37" s="1">
        <v>1036</v>
      </c>
      <c r="B37" s="2">
        <v>45693</v>
      </c>
      <c r="C37" s="1" t="s">
        <v>17</v>
      </c>
      <c r="D37" s="1" t="s">
        <v>15</v>
      </c>
      <c r="E37" s="1" t="s">
        <v>26</v>
      </c>
      <c r="F37" s="1">
        <v>4800</v>
      </c>
      <c r="G37" s="1">
        <v>900</v>
      </c>
      <c r="H37" s="1">
        <v>4</v>
      </c>
      <c r="I37" s="1" t="str">
        <f t="shared" si="3"/>
        <v>Feb</v>
      </c>
      <c r="J37" s="1">
        <f t="shared" si="4"/>
        <v>2025</v>
      </c>
      <c r="K37" s="1">
        <f t="shared" si="5"/>
        <v>0.1875</v>
      </c>
    </row>
    <row r="38" spans="1:11" x14ac:dyDescent="0.35">
      <c r="A38" s="1">
        <v>1037</v>
      </c>
      <c r="B38" s="2">
        <v>45694</v>
      </c>
      <c r="C38" s="1" t="s">
        <v>8</v>
      </c>
      <c r="D38" s="1" t="s">
        <v>9</v>
      </c>
      <c r="E38" s="1" t="s">
        <v>10</v>
      </c>
      <c r="F38" s="1">
        <v>62000</v>
      </c>
      <c r="G38" s="1">
        <v>9500</v>
      </c>
      <c r="H38" s="1">
        <v>2</v>
      </c>
      <c r="I38" s="1" t="str">
        <f t="shared" si="3"/>
        <v>Feb</v>
      </c>
      <c r="J38" s="1">
        <f t="shared" si="4"/>
        <v>2025</v>
      </c>
      <c r="K38" s="1">
        <f t="shared" si="5"/>
        <v>0.15322580645161291</v>
      </c>
    </row>
    <row r="39" spans="1:11" x14ac:dyDescent="0.35">
      <c r="A39" s="1">
        <v>1038</v>
      </c>
      <c r="B39" s="2">
        <v>45695</v>
      </c>
      <c r="C39" s="1" t="s">
        <v>11</v>
      </c>
      <c r="D39" s="1" t="s">
        <v>12</v>
      </c>
      <c r="E39" s="1" t="s">
        <v>13</v>
      </c>
      <c r="F39" s="1">
        <v>7800</v>
      </c>
      <c r="G39" s="1">
        <v>1150</v>
      </c>
      <c r="H39" s="1">
        <v>5</v>
      </c>
      <c r="I39" s="1" t="str">
        <f t="shared" si="3"/>
        <v>Feb</v>
      </c>
      <c r="J39" s="1">
        <f t="shared" si="4"/>
        <v>2025</v>
      </c>
      <c r="K39" s="1">
        <f t="shared" si="5"/>
        <v>0.14743589743589744</v>
      </c>
    </row>
    <row r="40" spans="1:11" x14ac:dyDescent="0.35">
      <c r="A40" s="1">
        <v>1039</v>
      </c>
      <c r="B40" s="2">
        <v>45696</v>
      </c>
      <c r="C40" s="1" t="s">
        <v>14</v>
      </c>
      <c r="D40" s="1" t="s">
        <v>15</v>
      </c>
      <c r="E40" s="1" t="s">
        <v>16</v>
      </c>
      <c r="F40" s="1">
        <v>3600</v>
      </c>
      <c r="G40" s="1">
        <v>620</v>
      </c>
      <c r="H40" s="1">
        <v>3</v>
      </c>
      <c r="I40" s="1" t="str">
        <f t="shared" si="3"/>
        <v>Feb</v>
      </c>
      <c r="J40" s="1">
        <f t="shared" si="4"/>
        <v>2025</v>
      </c>
      <c r="K40" s="1">
        <f t="shared" si="5"/>
        <v>0.17222222222222222</v>
      </c>
    </row>
    <row r="41" spans="1:11" x14ac:dyDescent="0.35">
      <c r="A41" s="1">
        <v>1040</v>
      </c>
      <c r="B41" s="2">
        <v>45697</v>
      </c>
      <c r="C41" s="1" t="s">
        <v>17</v>
      </c>
      <c r="D41" s="1" t="s">
        <v>9</v>
      </c>
      <c r="E41" s="1" t="s">
        <v>18</v>
      </c>
      <c r="F41" s="1">
        <v>28000</v>
      </c>
      <c r="G41" s="1">
        <v>4500</v>
      </c>
      <c r="H41" s="1">
        <v>4</v>
      </c>
      <c r="I41" s="1" t="str">
        <f t="shared" si="3"/>
        <v>Feb</v>
      </c>
      <c r="J41" s="1">
        <f t="shared" si="4"/>
        <v>2025</v>
      </c>
      <c r="K41" s="1">
        <f t="shared" si="5"/>
        <v>0.16071428571428573</v>
      </c>
    </row>
    <row r="42" spans="1:11" x14ac:dyDescent="0.35">
      <c r="A42" s="1">
        <v>1041</v>
      </c>
      <c r="B42" s="2">
        <v>45698</v>
      </c>
      <c r="C42" s="1" t="s">
        <v>8</v>
      </c>
      <c r="D42" s="1" t="s">
        <v>12</v>
      </c>
      <c r="E42" s="1" t="s">
        <v>19</v>
      </c>
      <c r="F42" s="1">
        <v>17500</v>
      </c>
      <c r="G42" s="1">
        <v>2800</v>
      </c>
      <c r="H42" s="1">
        <v>2</v>
      </c>
      <c r="I42" s="1" t="str">
        <f t="shared" si="3"/>
        <v>Feb</v>
      </c>
      <c r="J42" s="1">
        <f t="shared" si="4"/>
        <v>2025</v>
      </c>
      <c r="K42" s="1">
        <f t="shared" si="5"/>
        <v>0.16</v>
      </c>
    </row>
    <row r="43" spans="1:11" x14ac:dyDescent="0.35">
      <c r="A43" s="1">
        <v>1042</v>
      </c>
      <c r="B43" s="2">
        <v>45699</v>
      </c>
      <c r="C43" s="1" t="s">
        <v>11</v>
      </c>
      <c r="D43" s="1" t="s">
        <v>15</v>
      </c>
      <c r="E43" s="1" t="s">
        <v>20</v>
      </c>
      <c r="F43" s="1">
        <v>2300</v>
      </c>
      <c r="G43" s="1">
        <v>370</v>
      </c>
      <c r="H43" s="1">
        <v>6</v>
      </c>
      <c r="I43" s="1" t="str">
        <f t="shared" si="3"/>
        <v>Feb</v>
      </c>
      <c r="J43" s="1">
        <f t="shared" si="4"/>
        <v>2025</v>
      </c>
      <c r="K43" s="1">
        <f t="shared" si="5"/>
        <v>0.16086956521739129</v>
      </c>
    </row>
    <row r="44" spans="1:11" x14ac:dyDescent="0.35">
      <c r="A44" s="1">
        <v>1043</v>
      </c>
      <c r="B44" s="2">
        <v>45700</v>
      </c>
      <c r="C44" s="1" t="s">
        <v>14</v>
      </c>
      <c r="D44" s="1" t="s">
        <v>9</v>
      </c>
      <c r="E44" s="1" t="s">
        <v>21</v>
      </c>
      <c r="F44" s="1">
        <v>5600</v>
      </c>
      <c r="G44" s="1">
        <v>1050</v>
      </c>
      <c r="H44" s="1">
        <v>3</v>
      </c>
      <c r="I44" s="1" t="str">
        <f t="shared" si="3"/>
        <v>Feb</v>
      </c>
      <c r="J44" s="1">
        <f t="shared" si="4"/>
        <v>2025</v>
      </c>
      <c r="K44" s="1">
        <f t="shared" si="5"/>
        <v>0.1875</v>
      </c>
    </row>
    <row r="45" spans="1:11" x14ac:dyDescent="0.35">
      <c r="A45" s="1">
        <v>1044</v>
      </c>
      <c r="B45" s="2">
        <v>45701</v>
      </c>
      <c r="C45" s="1" t="s">
        <v>17</v>
      </c>
      <c r="D45" s="1" t="s">
        <v>12</v>
      </c>
      <c r="E45" s="1" t="s">
        <v>22</v>
      </c>
      <c r="F45" s="1">
        <v>44000</v>
      </c>
      <c r="G45" s="1">
        <v>7700</v>
      </c>
      <c r="H45" s="1">
        <v>1</v>
      </c>
      <c r="I45" s="1" t="str">
        <f t="shared" si="3"/>
        <v>Feb</v>
      </c>
      <c r="J45" s="1">
        <f t="shared" si="4"/>
        <v>2025</v>
      </c>
      <c r="K45" s="1">
        <f t="shared" si="5"/>
        <v>0.17499999999999999</v>
      </c>
    </row>
    <row r="46" spans="1:11" x14ac:dyDescent="0.35">
      <c r="A46" s="1">
        <v>1045</v>
      </c>
      <c r="B46" s="2">
        <v>45702</v>
      </c>
      <c r="C46" s="1" t="s">
        <v>8</v>
      </c>
      <c r="D46" s="1" t="s">
        <v>15</v>
      </c>
      <c r="E46" s="1" t="s">
        <v>23</v>
      </c>
      <c r="F46" s="1">
        <v>3300</v>
      </c>
      <c r="G46" s="1">
        <v>650</v>
      </c>
      <c r="H46" s="1">
        <v>4</v>
      </c>
      <c r="I46" s="1" t="str">
        <f t="shared" si="3"/>
        <v>Feb</v>
      </c>
      <c r="J46" s="1">
        <f t="shared" si="4"/>
        <v>2025</v>
      </c>
      <c r="K46" s="1">
        <f t="shared" si="5"/>
        <v>0.19696969696969696</v>
      </c>
    </row>
    <row r="47" spans="1:11" x14ac:dyDescent="0.35">
      <c r="A47" s="1">
        <v>1046</v>
      </c>
      <c r="B47" s="2">
        <v>45703</v>
      </c>
      <c r="C47" s="1" t="s">
        <v>11</v>
      </c>
      <c r="D47" s="1" t="s">
        <v>9</v>
      </c>
      <c r="E47" s="1" t="s">
        <v>24</v>
      </c>
      <c r="F47" s="1">
        <v>21000</v>
      </c>
      <c r="G47" s="1">
        <v>3600</v>
      </c>
      <c r="H47" s="1">
        <v>2</v>
      </c>
      <c r="I47" s="1" t="str">
        <f t="shared" si="3"/>
        <v>Feb</v>
      </c>
      <c r="J47" s="1">
        <f t="shared" si="4"/>
        <v>2025</v>
      </c>
      <c r="K47" s="1">
        <f t="shared" si="5"/>
        <v>0.17142857142857143</v>
      </c>
    </row>
    <row r="48" spans="1:11" x14ac:dyDescent="0.35">
      <c r="A48" s="1">
        <v>1047</v>
      </c>
      <c r="B48" s="2">
        <v>45704</v>
      </c>
      <c r="C48" s="1" t="s">
        <v>14</v>
      </c>
      <c r="D48" s="1" t="s">
        <v>12</v>
      </c>
      <c r="E48" s="1" t="s">
        <v>25</v>
      </c>
      <c r="F48" s="1">
        <v>38000</v>
      </c>
      <c r="G48" s="1">
        <v>6500</v>
      </c>
      <c r="H48" s="1">
        <v>1</v>
      </c>
      <c r="I48" s="1" t="str">
        <f t="shared" si="3"/>
        <v>Feb</v>
      </c>
      <c r="J48" s="1">
        <f t="shared" si="4"/>
        <v>2025</v>
      </c>
      <c r="K48" s="1">
        <f t="shared" si="5"/>
        <v>0.17105263157894737</v>
      </c>
    </row>
    <row r="49" spans="1:11" x14ac:dyDescent="0.35">
      <c r="A49" s="1">
        <v>1048</v>
      </c>
      <c r="B49" s="2">
        <v>45705</v>
      </c>
      <c r="C49" s="1" t="s">
        <v>17</v>
      </c>
      <c r="D49" s="1" t="s">
        <v>15</v>
      </c>
      <c r="E49" s="1" t="s">
        <v>26</v>
      </c>
      <c r="F49" s="1">
        <v>5000</v>
      </c>
      <c r="G49" s="1">
        <v>950</v>
      </c>
      <c r="H49" s="1">
        <v>5</v>
      </c>
      <c r="I49" s="1" t="str">
        <f t="shared" si="3"/>
        <v>Feb</v>
      </c>
      <c r="J49" s="1">
        <f t="shared" si="4"/>
        <v>2025</v>
      </c>
      <c r="K49" s="1">
        <f t="shared" si="5"/>
        <v>0.19</v>
      </c>
    </row>
    <row r="50" spans="1:11" x14ac:dyDescent="0.35">
      <c r="A50" s="1">
        <v>1049</v>
      </c>
      <c r="B50" s="2">
        <v>45706</v>
      </c>
      <c r="C50" s="1" t="s">
        <v>8</v>
      </c>
      <c r="D50" s="1" t="s">
        <v>9</v>
      </c>
      <c r="E50" s="1" t="s">
        <v>10</v>
      </c>
      <c r="F50" s="1">
        <v>63000</v>
      </c>
      <c r="G50" s="1">
        <v>9800</v>
      </c>
      <c r="H50" s="1">
        <v>2</v>
      </c>
      <c r="I50" s="1" t="str">
        <f t="shared" si="3"/>
        <v>Feb</v>
      </c>
      <c r="J50" s="1">
        <f t="shared" si="4"/>
        <v>2025</v>
      </c>
      <c r="K50" s="1">
        <f t="shared" si="5"/>
        <v>0.15555555555555556</v>
      </c>
    </row>
    <row r="51" spans="1:11" x14ac:dyDescent="0.35">
      <c r="A51" s="1">
        <v>1050</v>
      </c>
      <c r="B51" s="2">
        <v>45707</v>
      </c>
      <c r="C51" s="1" t="s">
        <v>11</v>
      </c>
      <c r="D51" s="1" t="s">
        <v>12</v>
      </c>
      <c r="E51" s="1" t="s">
        <v>13</v>
      </c>
      <c r="F51" s="1">
        <v>8400</v>
      </c>
      <c r="G51" s="1">
        <v>1400</v>
      </c>
      <c r="H51" s="1">
        <v>4</v>
      </c>
      <c r="I51" s="1" t="str">
        <f t="shared" si="3"/>
        <v>Feb</v>
      </c>
      <c r="J51" s="1">
        <f t="shared" si="4"/>
        <v>2025</v>
      </c>
      <c r="K51" s="1">
        <f t="shared" si="5"/>
        <v>0.16666666666666666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region_wise sales</vt:lpstr>
      <vt:lpstr>sales_dashboard_project</vt:lpstr>
      <vt:lpstr>monthly sales line</vt:lpstr>
      <vt:lpstr>categories_wise_revenue</vt:lpstr>
      <vt:lpstr>top 10 products</vt:lpstr>
      <vt:lpstr>Sheet9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rana</dc:creator>
  <cp:lastModifiedBy>Pramod kumar rana</cp:lastModifiedBy>
  <dcterms:created xsi:type="dcterms:W3CDTF">2026-03-02T13:28:21Z</dcterms:created>
  <dcterms:modified xsi:type="dcterms:W3CDTF">2026-03-02T15:59:52Z</dcterms:modified>
</cp:coreProperties>
</file>