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iksha\SQL PEOJECTS\"/>
    </mc:Choice>
  </mc:AlternateContent>
  <xr:revisionPtr revIDLastSave="0" documentId="13_ncr:1_{C45F0CC0-BC49-4172-AADD-92351BACADEA}" xr6:coauthVersionLast="47" xr6:coauthVersionMax="47" xr10:uidLastSave="{00000000-0000-0000-0000-000000000000}"/>
  <bookViews>
    <workbookView xWindow="-110" yWindow="-110" windowWidth="19420" windowHeight="10300" xr2:uid="{67BA7B2B-46C8-4C4E-B774-DFF48F3E44AB}"/>
  </bookViews>
  <sheets>
    <sheet name="ANALYSIS" sheetId="4" r:id="rId1"/>
    <sheet name="Category_Analysis" sheetId="5" r:id="rId2"/>
    <sheet name="e-commerce order analysis" sheetId="2" r:id="rId3"/>
    <sheet name="Sheet5" sheetId="6" r:id="rId4"/>
  </sheets>
  <definedNames>
    <definedName name="ExternalData_1" localSheetId="2" hidden="1">'e-commerce order analysis'!$A$1:$E$31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5" l="1"/>
  <c r="B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C00EA-666B-4928-ADF5-FD29E63B4BCE}" keepAlive="1" name="Query - e-commerce order analysis" description="Connection to the 'e-commerce order analysis' query in the workbook." type="5" refreshedVersion="8" background="1" saveData="1">
    <dbPr connection="Provider=Microsoft.Mashup.OleDb.1;Data Source=$Workbook$;Location=&quot;e-commerce order analysis&quot;;Extended Properties=&quot;&quot;" command="SELECT * FROM [e-commerce order analysis]"/>
  </connection>
</connections>
</file>

<file path=xl/sharedStrings.xml><?xml version="1.0" encoding="utf-8"?>
<sst xmlns="http://schemas.openxmlformats.org/spreadsheetml/2006/main" count="57" uniqueCount="25">
  <si>
    <t>order_id</t>
  </si>
  <si>
    <t>customer_id</t>
  </si>
  <si>
    <t>order_date</t>
  </si>
  <si>
    <t>category</t>
  </si>
  <si>
    <t>total_amount</t>
  </si>
  <si>
    <t>Electronics</t>
  </si>
  <si>
    <t>Clothing</t>
  </si>
  <si>
    <t>Home</t>
  </si>
  <si>
    <t>Beauty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</si>
  <si>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</si>
  <si>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</si>
  <si>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</si>
  <si>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</si>
  <si>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</si>
  <si>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</si>
  <si>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</si>
  <si>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</si>
  <si>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</si>
  <si>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</si>
  <si>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Monthly Revenue Trend</t>
  </si>
  <si>
    <t>Revenue by Category</t>
  </si>
  <si>
    <t>TOTAL REVENUE</t>
  </si>
  <si>
    <t>TOTAL ORDER</t>
  </si>
  <si>
    <t>AVERAGE ORDER VALUE</t>
  </si>
  <si>
    <t>TOTAL CUSTOMER(UNIQUE)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</si>
</sst>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left" vertical="bottom" textRotation="0" wrapText="0" indent="1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19" formatCode="dd/mm/yyyy"/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colors>
    <mruColors>
      <color rgb="FF0AC9F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[SQL_Excel_Ecommerce_Project1.xlsx]ANALYSIS!PivotTable1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2450</c:v>
                </c:pt>
                <c:pt idx="1">
                  <c:v>2500</c:v>
                </c:pt>
                <c:pt idx="2">
                  <c:v>3900</c:v>
                </c:pt>
                <c:pt idx="3">
                  <c:v>4000</c:v>
                </c:pt>
                <c:pt idx="4">
                  <c:v>4050</c:v>
                </c:pt>
                <c:pt idx="5">
                  <c:v>5800</c:v>
                </c:pt>
                <c:pt idx="6">
                  <c:v>2050</c:v>
                </c:pt>
                <c:pt idx="7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8-47CE-B65E-75428DDCE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516384"/>
        <c:axId val="561847456"/>
      </c:lineChart>
      <c:catAx>
        <c:axId val="3175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47456"/>
        <c:crosses val="autoZero"/>
        <c:auto val="1"/>
        <c:lblAlgn val="ctr"/>
        <c:lblOffset val="100"/>
        <c:noMultiLvlLbl val="0"/>
      </c:catAx>
      <c:valAx>
        <c:axId val="56184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163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[SQL_Excel_Ecommerce_Project1.xlsx]Category_Analysis!PivotTable2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20549009360555595"/>
              <c:y val="-5.63663413041111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803219287854504"/>
              <c:y val="-0.186617438949163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705-4F32-A846-1A6A4BB7B7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705-4F32-A846-1A6A4BB7B7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705-4F32-A846-1A6A4BB7B7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78-4AF5-9F6B-70834650D32D}"/>
              </c:ext>
            </c:extLst>
          </c:dPt>
          <c:dLbls>
            <c:dLbl>
              <c:idx val="0"/>
              <c:layout>
                <c:manualLayout>
                  <c:x val="-0.20549009360555595"/>
                  <c:y val="-5.636634130411118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05-4F32-A846-1A6A4BB7B7A4}"/>
                </c:ext>
              </c:extLst>
            </c:dLbl>
            <c:dLbl>
              <c:idx val="1"/>
              <c:layout>
                <c:manualLayout>
                  <c:x val="0.16803219287854504"/>
                  <c:y val="-0.1866174389491636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05-4F32-A846-1A6A4BB7B7A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05-4F32-A846-1A6A4BB7B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Category_Analysis!$A$4:$A$8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Category_Analysis!$B$4:$B$8</c:f>
              <c:numCache>
                <c:formatCode>General</c:formatCode>
                <c:ptCount val="4"/>
                <c:pt idx="0">
                  <c:v>14100</c:v>
                </c:pt>
                <c:pt idx="1">
                  <c:v>7250</c:v>
                </c:pt>
                <c:pt idx="2">
                  <c:v>4300</c:v>
                </c:pt>
                <c:pt idx="3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5-4F32-A846-1A6A4BB7B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[SQL_Excel_Ecommerce_Project1.xlsx]ANALYSIS!PivotTable1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40747450816435"/>
          <c:y val="0.19847003499562554"/>
          <c:w val="0.70469235593338442"/>
          <c:h val="0.53774387576552929"/>
        </c:manualLayout>
      </c:layout>
      <c:lineChart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2450</c:v>
                </c:pt>
                <c:pt idx="1">
                  <c:v>2500</c:v>
                </c:pt>
                <c:pt idx="2">
                  <c:v>3900</c:v>
                </c:pt>
                <c:pt idx="3">
                  <c:v>4000</c:v>
                </c:pt>
                <c:pt idx="4">
                  <c:v>4050</c:v>
                </c:pt>
                <c:pt idx="5">
                  <c:v>5800</c:v>
                </c:pt>
                <c:pt idx="6">
                  <c:v>2050</c:v>
                </c:pt>
                <c:pt idx="7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5-40F8-8D2B-44000ECD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516384"/>
        <c:axId val="561847456"/>
      </c:lineChart>
      <c:catAx>
        <c:axId val="3175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47456"/>
        <c:crosses val="autoZero"/>
        <c:auto val="1"/>
        <c:lblAlgn val="ctr"/>
        <c:lblOffset val="100"/>
        <c:noMultiLvlLbl val="0"/>
      </c:catAx>
      <c:valAx>
        <c:axId val="56184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163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[SQL_Excel_Ecommerce_Project1.xlsx]Category_Analysis!PivotTable2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20549009360555595"/>
              <c:y val="-5.63663413041111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803219287854504"/>
              <c:y val="-0.186617438949163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20549009360555595"/>
              <c:y val="-5.63663413041111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803219287854504"/>
              <c:y val="-0.186617438949163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20549009360555595"/>
              <c:y val="-5.63663413041111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803219287854504"/>
              <c:y val="-0.186617438949163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ED-4204-8182-29AEBD9A4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ED-4204-8182-29AEBD9A4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ED-4204-8182-29AEBD9A4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ED-4204-8182-29AEBD9A4634}"/>
              </c:ext>
            </c:extLst>
          </c:dPt>
          <c:dLbls>
            <c:dLbl>
              <c:idx val="0"/>
              <c:layout>
                <c:manualLayout>
                  <c:x val="-0.20549009360555595"/>
                  <c:y val="-5.636634130411118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ED-4204-8182-29AEBD9A4634}"/>
                </c:ext>
              </c:extLst>
            </c:dLbl>
            <c:dLbl>
              <c:idx val="1"/>
              <c:layout>
                <c:manualLayout>
                  <c:x val="0.16803219287854504"/>
                  <c:y val="-0.1866174389491636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ED-4204-8182-29AEBD9A463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ED-4204-8182-29AEBD9A46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Category_Analysis!$A$4:$A$8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Category_Analysis!$B$4:$B$8</c:f>
              <c:numCache>
                <c:formatCode>General</c:formatCode>
                <c:ptCount val="4"/>
                <c:pt idx="0">
                  <c:v>14100</c:v>
                </c:pt>
                <c:pt idx="1">
                  <c:v>7250</c:v>
                </c:pt>
                <c:pt idx="2">
                  <c:v>4300</c:v>
                </c:pt>
                <c:pt idx="3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ED-4204-8182-29AEBD9A4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31750</xdr:rowOff>
    </xdr:from>
    <xdr:to>
      <xdr:col>10</xdr:col>
      <xdr:colOff>44450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A6324-EC53-F0B2-BCD5-6EEAABFA4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1</xdr:row>
      <xdr:rowOff>12700</xdr:rowOff>
    </xdr:from>
    <xdr:to>
      <xdr:col>7</xdr:col>
      <xdr:colOff>44450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C494C-7F13-C522-3DDA-82C0DD791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14</xdr:col>
      <xdr:colOff>514350</xdr:colOff>
      <xdr:row>3</xdr:row>
      <xdr:rowOff>158750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0156C86-D116-E82B-8CE6-8C637D2A0B76}"/>
            </a:ext>
          </a:extLst>
        </xdr:cNvPr>
        <xdr:cNvSpPr/>
      </xdr:nvSpPr>
      <xdr:spPr>
        <a:xfrm>
          <a:off x="3054350" y="190500"/>
          <a:ext cx="5994400" cy="520700"/>
        </a:xfrm>
        <a:prstGeom prst="rect">
          <a:avLst/>
        </a:prstGeom>
        <a:solidFill>
          <a:schemeClr val="tx1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chemeClr val="accent5"/>
              </a:solidFill>
            </a:rPr>
            <a:t>          </a:t>
          </a:r>
          <a:r>
            <a:rPr lang="en-IN" sz="2400">
              <a:solidFill>
                <a:schemeClr val="accent5"/>
              </a:solidFill>
              <a:latin typeface="Algerian" panose="04020705040A02060702" pitchFamily="82" charset="0"/>
            </a:rPr>
            <a:t>E-COMMERCE</a:t>
          </a:r>
          <a:r>
            <a:rPr lang="en-IN" sz="2400" baseline="0">
              <a:solidFill>
                <a:schemeClr val="accent5"/>
              </a:solidFill>
              <a:latin typeface="Algerian" panose="04020705040A02060702" pitchFamily="82" charset="0"/>
            </a:rPr>
            <a:t> ORDER DASHBOARD</a:t>
          </a:r>
          <a:endParaRPr lang="en-IN" sz="2400">
            <a:solidFill>
              <a:schemeClr val="accent5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228600</xdr:colOff>
      <xdr:row>8</xdr:row>
      <xdr:rowOff>25400</xdr:rowOff>
    </xdr:from>
    <xdr:to>
      <xdr:col>4</xdr:col>
      <xdr:colOff>215900</xdr:colOff>
      <xdr:row>12</xdr:row>
      <xdr:rowOff>6350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5FDA29D-757A-B2D3-58F4-13B30A8B8A3C}"/>
            </a:ext>
          </a:extLst>
        </xdr:cNvPr>
        <xdr:cNvSpPr/>
      </xdr:nvSpPr>
      <xdr:spPr>
        <a:xfrm>
          <a:off x="228600" y="1498600"/>
          <a:ext cx="2425700" cy="717550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cap="none" spc="0">
              <a:ln>
                <a:noFill/>
              </a:ln>
              <a:solidFill>
                <a:srgbClr val="0AC9F6"/>
              </a:solidFill>
              <a:effectLst/>
              <a:latin typeface="Aptos Display" panose="020B0004020202020204" pitchFamily="34" charset="0"/>
            </a:rPr>
            <a:t>        TOTAL REVENUE</a:t>
          </a:r>
        </a:p>
        <a:p>
          <a:pPr algn="l"/>
          <a:r>
            <a:rPr lang="en-IN" sz="1600" b="1" cap="none" spc="0">
              <a:ln>
                <a:noFill/>
              </a:ln>
              <a:solidFill>
                <a:srgbClr val="0AC9F6"/>
              </a:solidFill>
              <a:effectLst/>
              <a:latin typeface="Aptos Display" panose="020B0004020202020204" pitchFamily="34" charset="0"/>
            </a:rPr>
            <a:t>                 </a:t>
          </a:r>
          <a:r>
            <a:rPr lang="en-IN" sz="1600" b="1" cap="none" spc="0">
              <a:ln>
                <a:noFill/>
              </a:ln>
              <a:solidFill>
                <a:srgbClr val="FF0000"/>
              </a:solidFill>
              <a:effectLst/>
              <a:latin typeface="Aptos Display" panose="020B0004020202020204" pitchFamily="34" charset="0"/>
            </a:rPr>
            <a:t>₹28550 </a:t>
          </a:r>
        </a:p>
      </xdr:txBody>
    </xdr:sp>
    <xdr:clientData/>
  </xdr:twoCellAnchor>
  <xdr:twoCellAnchor>
    <xdr:from>
      <xdr:col>5</xdr:col>
      <xdr:colOff>6350</xdr:colOff>
      <xdr:row>8</xdr:row>
      <xdr:rowOff>12700</xdr:rowOff>
    </xdr:from>
    <xdr:to>
      <xdr:col>9</xdr:col>
      <xdr:colOff>19050</xdr:colOff>
      <xdr:row>11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8948910-0D05-7DEF-2A65-1007551D2B2F}"/>
            </a:ext>
          </a:extLst>
        </xdr:cNvPr>
        <xdr:cNvSpPr/>
      </xdr:nvSpPr>
      <xdr:spPr>
        <a:xfrm>
          <a:off x="3054350" y="1485900"/>
          <a:ext cx="2451100" cy="717550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AC9F6"/>
              </a:solidFill>
            </a:rPr>
            <a:t>         TOTAL ORDERS</a:t>
          </a:r>
        </a:p>
        <a:p>
          <a:pPr algn="l"/>
          <a:r>
            <a:rPr lang="en-IN" sz="1600" b="1">
              <a:solidFill>
                <a:srgbClr val="0AC9F6"/>
              </a:solidFill>
            </a:rPr>
            <a:t>               </a:t>
          </a:r>
          <a:r>
            <a:rPr lang="en-IN" sz="1600" b="1" baseline="0">
              <a:solidFill>
                <a:srgbClr val="0AC9F6"/>
              </a:solidFill>
            </a:rPr>
            <a:t>       </a:t>
          </a:r>
          <a:r>
            <a:rPr lang="en-IN" sz="1600" b="1" baseline="0">
              <a:solidFill>
                <a:srgbClr val="FF0000"/>
              </a:solidFill>
            </a:rPr>
            <a:t>30</a:t>
          </a:r>
          <a:endParaRPr lang="en-IN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450850</xdr:colOff>
      <xdr:row>8</xdr:row>
      <xdr:rowOff>6350</xdr:rowOff>
    </xdr:from>
    <xdr:to>
      <xdr:col>13</xdr:col>
      <xdr:colOff>450850</xdr:colOff>
      <xdr:row>11</xdr:row>
      <xdr:rowOff>177800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AD825A5-9E47-5A77-FC6D-5CD32252D302}"/>
            </a:ext>
          </a:extLst>
        </xdr:cNvPr>
        <xdr:cNvSpPr/>
      </xdr:nvSpPr>
      <xdr:spPr>
        <a:xfrm>
          <a:off x="5937250" y="1479550"/>
          <a:ext cx="2438400" cy="723900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cap="none" spc="0">
              <a:ln>
                <a:noFill/>
              </a:ln>
              <a:solidFill>
                <a:srgbClr val="0AC9F6"/>
              </a:solidFill>
              <a:effectLst/>
            </a:rPr>
            <a:t>AVERAGE ORDER VALUE</a:t>
          </a:r>
        </a:p>
        <a:p>
          <a:pPr algn="l"/>
          <a:r>
            <a:rPr lang="en-IN" sz="1600" b="1" cap="none" spc="0">
              <a:ln>
                <a:noFill/>
              </a:ln>
              <a:solidFill>
                <a:srgbClr val="0AC9F6"/>
              </a:solidFill>
              <a:effectLst/>
            </a:rPr>
            <a:t>              </a:t>
          </a:r>
          <a:r>
            <a:rPr lang="en-IN" sz="1600" b="1" cap="none" spc="0">
              <a:ln>
                <a:noFill/>
              </a:ln>
              <a:solidFill>
                <a:srgbClr val="FF0000"/>
              </a:solidFill>
              <a:effectLst/>
            </a:rPr>
            <a:t>₹951.67</a:t>
          </a:r>
        </a:p>
      </xdr:txBody>
    </xdr:sp>
    <xdr:clientData/>
  </xdr:twoCellAnchor>
  <xdr:twoCellAnchor>
    <xdr:from>
      <xdr:col>14</xdr:col>
      <xdr:colOff>190500</xdr:colOff>
      <xdr:row>8</xdr:row>
      <xdr:rowOff>12700</xdr:rowOff>
    </xdr:from>
    <xdr:to>
      <xdr:col>18</xdr:col>
      <xdr:colOff>323850</xdr:colOff>
      <xdr:row>11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CC19C29-4ECE-1436-541A-DB55D28FD446}"/>
            </a:ext>
          </a:extLst>
        </xdr:cNvPr>
        <xdr:cNvSpPr/>
      </xdr:nvSpPr>
      <xdr:spPr>
        <a:xfrm>
          <a:off x="8724900" y="1485900"/>
          <a:ext cx="2571750" cy="711200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AC9F6"/>
              </a:solidFill>
              <a:latin typeface="+mn-lt"/>
            </a:rPr>
            <a:t>TOTAL CUSTOMER(UNIQUE</a:t>
          </a:r>
          <a:r>
            <a:rPr lang="en-IN" sz="1600" b="1">
              <a:solidFill>
                <a:srgbClr val="0AC9F6"/>
              </a:solidFill>
              <a:latin typeface="+mj-lt"/>
            </a:rPr>
            <a:t>)</a:t>
          </a:r>
        </a:p>
        <a:p>
          <a:pPr algn="l"/>
          <a:r>
            <a:rPr lang="en-IN" sz="1600" b="1">
              <a:solidFill>
                <a:srgbClr val="0AC9F6"/>
              </a:solidFill>
              <a:latin typeface="+mj-lt"/>
            </a:rPr>
            <a:t>                       </a:t>
          </a:r>
          <a:r>
            <a:rPr lang="en-IN" sz="1600" b="1">
              <a:solidFill>
                <a:srgbClr val="FF0000"/>
              </a:solidFill>
              <a:latin typeface="+mn-lt"/>
            </a:rPr>
            <a:t>17</a:t>
          </a:r>
        </a:p>
      </xdr:txBody>
    </xdr:sp>
    <xdr:clientData/>
  </xdr:twoCellAnchor>
  <xdr:twoCellAnchor>
    <xdr:from>
      <xdr:col>1</xdr:col>
      <xdr:colOff>0</xdr:colOff>
      <xdr:row>16</xdr:row>
      <xdr:rowOff>171450</xdr:rowOff>
    </xdr:from>
    <xdr:to>
      <xdr:col>9</xdr:col>
      <xdr:colOff>6350</xdr:colOff>
      <xdr:row>31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199F6D-4494-466B-9909-44EA6C8B2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18</xdr:col>
      <xdr:colOff>6350</xdr:colOff>
      <xdr:row>31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C2E391-06DD-40F1-B8EB-7A485AD16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kumar rana" refreshedDate="46072.495149537041" createdVersion="8" refreshedVersion="8" minRefreshableVersion="3" recordCount="30" xr:uid="{575D8BE2-A70B-41FB-A780-51EA2CBA7139}">
  <cacheSource type="worksheet">
    <worksheetSource name="e_commerce_order_analysis"/>
  </cacheSource>
  <cacheFields count="7">
    <cacheField name="order_id" numFmtId="0">
      <sharedItems containsSemiMixedTypes="0" containsString="0" containsNumber="1" containsInteger="1" minValue="1" maxValue="30"/>
    </cacheField>
    <cacheField name="customer_id" numFmtId="0">
      <sharedItems containsSemiMixedTypes="0" containsString="0" containsNumber="1" containsInteger="1" minValue="101" maxValue="117"/>
    </cacheField>
    <cacheField name="order_date" numFmtId="14">
      <sharedItems containsSemiMixedTypes="0" containsNonDate="0" containsDate="1" containsString="0" minDate="2024-01-05T00:00:00" maxDate="2024-08-21T00:00:00" count="30">
        <d v="2024-01-05T00:00:00"/>
        <d v="2024-01-10T00:00:00"/>
        <d v="2024-01-12T00:00:00"/>
        <d v="2024-02-02T00:00:00"/>
        <d v="2024-02-05T00:00:00"/>
        <d v="2024-02-10T00:00:00"/>
        <d v="2024-03-01T00:00:00"/>
        <d v="2024-03-05T00:00:00"/>
        <d v="2024-03-12T00:00:00"/>
        <d v="2024-03-20T00:00:00"/>
        <d v="2024-04-01T00:00:00"/>
        <d v="2024-04-05T00:00:00"/>
        <d v="2024-04-10T00:00:00"/>
        <d v="2024-04-15T00:00:00"/>
        <d v="2024-05-02T00:00:00"/>
        <d v="2024-05-06T00:00:00"/>
        <d v="2024-05-10T00:00:00"/>
        <d v="2024-05-15T00:00:00"/>
        <d v="2024-06-01T00:00:00"/>
        <d v="2024-06-03T00:00:00"/>
        <d v="2024-06-10T00:00:00"/>
        <d v="2024-06-12T00:00:00"/>
        <d v="2024-06-18T00:00:00"/>
        <d v="2024-07-02T00:00:00"/>
        <d v="2024-07-05T00:00:00"/>
        <d v="2024-07-10T00:00:00"/>
        <d v="2024-08-01T00:00:00"/>
        <d v="2024-08-05T00:00:00"/>
        <d v="2024-08-12T00:00:00"/>
        <d v="2024-08-20T00:00:00"/>
      </sharedItems>
      <fieldGroup par="6"/>
    </cacheField>
    <cacheField name="category" numFmtId="0">
      <sharedItems count="4">
        <s v="Electronics"/>
        <s v="Clothing"/>
        <s v="Home"/>
        <s v="Beauty"/>
      </sharedItems>
    </cacheField>
    <cacheField name="total_amount" numFmtId="0">
      <sharedItems containsSemiMixedTypes="0" containsString="0" containsNumber="1" containsInteger="1" minValue="300" maxValue="2200"/>
    </cacheField>
    <cacheField name="Days (order_date)" numFmtId="0" databaseField="0">
      <fieldGroup base="2">
        <rangePr groupBy="days" startDate="2024-01-05T00:00:00" endDate="2024-08-21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08-2024"/>
        </groupItems>
      </fieldGroup>
    </cacheField>
    <cacheField name="Months (order_date)" numFmtId="0" databaseField="0">
      <fieldGroup base="2">
        <rangePr groupBy="months" startDate="2024-01-05T00:00:00" endDate="2024-08-21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n v="101"/>
    <x v="0"/>
    <x v="0"/>
    <n v="1200"/>
  </r>
  <r>
    <n v="2"/>
    <n v="102"/>
    <x v="1"/>
    <x v="1"/>
    <n v="800"/>
  </r>
  <r>
    <n v="3"/>
    <n v="103"/>
    <x v="2"/>
    <x v="2"/>
    <n v="450"/>
  </r>
  <r>
    <n v="4"/>
    <n v="101"/>
    <x v="3"/>
    <x v="0"/>
    <n v="1500"/>
  </r>
  <r>
    <n v="5"/>
    <n v="104"/>
    <x v="4"/>
    <x v="1"/>
    <n v="700"/>
  </r>
  <r>
    <n v="6"/>
    <n v="105"/>
    <x v="5"/>
    <x v="3"/>
    <n v="300"/>
  </r>
  <r>
    <n v="7"/>
    <n v="102"/>
    <x v="6"/>
    <x v="0"/>
    <n v="2000"/>
  </r>
  <r>
    <n v="8"/>
    <n v="106"/>
    <x v="7"/>
    <x v="2"/>
    <n v="600"/>
  </r>
  <r>
    <n v="9"/>
    <n v="107"/>
    <x v="8"/>
    <x v="1"/>
    <n v="900"/>
  </r>
  <r>
    <n v="10"/>
    <n v="101"/>
    <x v="9"/>
    <x v="3"/>
    <n v="400"/>
  </r>
  <r>
    <n v="11"/>
    <n v="108"/>
    <x v="10"/>
    <x v="0"/>
    <n v="1800"/>
  </r>
  <r>
    <n v="12"/>
    <n v="109"/>
    <x v="11"/>
    <x v="2"/>
    <n v="750"/>
  </r>
  <r>
    <n v="13"/>
    <n v="110"/>
    <x v="12"/>
    <x v="1"/>
    <n v="950"/>
  </r>
  <r>
    <n v="14"/>
    <n v="103"/>
    <x v="13"/>
    <x v="3"/>
    <n v="500"/>
  </r>
  <r>
    <n v="15"/>
    <n v="102"/>
    <x v="14"/>
    <x v="0"/>
    <n v="2200"/>
  </r>
  <r>
    <n v="16"/>
    <n v="111"/>
    <x v="15"/>
    <x v="2"/>
    <n v="650"/>
  </r>
  <r>
    <n v="17"/>
    <n v="104"/>
    <x v="16"/>
    <x v="3"/>
    <n v="350"/>
  </r>
  <r>
    <n v="18"/>
    <n v="105"/>
    <x v="17"/>
    <x v="1"/>
    <n v="850"/>
  </r>
  <r>
    <n v="19"/>
    <n v="112"/>
    <x v="18"/>
    <x v="0"/>
    <n v="1700"/>
  </r>
  <r>
    <n v="20"/>
    <n v="113"/>
    <x v="19"/>
    <x v="2"/>
    <n v="550"/>
  </r>
  <r>
    <n v="21"/>
    <n v="101"/>
    <x v="20"/>
    <x v="1"/>
    <n v="1000"/>
  </r>
  <r>
    <n v="22"/>
    <n v="114"/>
    <x v="21"/>
    <x v="3"/>
    <n v="450"/>
  </r>
  <r>
    <n v="23"/>
    <n v="115"/>
    <x v="22"/>
    <x v="0"/>
    <n v="2100"/>
  </r>
  <r>
    <n v="24"/>
    <n v="102"/>
    <x v="23"/>
    <x v="2"/>
    <n v="700"/>
  </r>
  <r>
    <n v="25"/>
    <n v="103"/>
    <x v="24"/>
    <x v="1"/>
    <n v="950"/>
  </r>
  <r>
    <n v="26"/>
    <n v="116"/>
    <x v="25"/>
    <x v="3"/>
    <n v="400"/>
  </r>
  <r>
    <n v="27"/>
    <n v="104"/>
    <x v="26"/>
    <x v="0"/>
    <n v="1600"/>
  </r>
  <r>
    <n v="28"/>
    <n v="105"/>
    <x v="27"/>
    <x v="2"/>
    <n v="600"/>
  </r>
  <r>
    <n v="29"/>
    <n v="101"/>
    <x v="28"/>
    <x v="1"/>
    <n v="1100"/>
  </r>
  <r>
    <n v="30"/>
    <n v="117"/>
    <x v="29"/>
    <x v="3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81DCA-30C6-4328-AE1D-1DDF051A82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12" firstHeaderRow="1" firstDataRow="1" firstDataCol="1"/>
  <pivotFields count="7">
    <pivotField showAll="0"/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onthly Revenue Trend" fld="4" baseField="6" baseItem="1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3CF6A-E78E-43BE-8AE3-634FDB5971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7"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Revenue by Category" fld="4" baseField="3" baseItem="2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656FFF-322A-49CF-BBFD-5E588041485B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order_date" tableColumnId="3"/>
      <queryTableField id="4" name="category" tableColumnId="4"/>
      <queryTableField id="5" name="total_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4C0D9-910F-4365-AE52-9A69B9C7DFAA}" name="e_commerce_order_analysis" displayName="e_commerce_order_analysis" ref="A1:E31" tableType="queryTable" totalsRowShown="0" dataDxfId="5">
  <autoFilter ref="A1:E31" xr:uid="{E244C0D9-910F-4365-AE52-9A69B9C7DFAA}"/>
  <tableColumns count="5">
    <tableColumn id="1" xr3:uid="{88779FD0-9690-417F-875F-5414E9578FE1}" uniqueName="1" name="order_id" queryTableFieldId="1" dataDxfId="4"/>
    <tableColumn id="2" xr3:uid="{7E17C5D6-BC91-42B2-AB8A-F3EA69C14048}" uniqueName="2" name="customer_id" queryTableFieldId="2" dataDxfId="3"/>
    <tableColumn id="3" xr3:uid="{400E9E7A-A715-4FDE-90BA-68F8C9A211CF}" uniqueName="3" name="order_date" queryTableFieldId="3" dataDxfId="2"/>
    <tableColumn id="4" xr3:uid="{71BB71A7-A4B9-4BAE-819F-562DB28856C6}" uniqueName="4" name="category" queryTableFieldId="4" dataDxfId="1"/>
    <tableColumn id="5" xr3:uid="{CF4EB284-1FF9-4CD0-BE22-A4D55F7B3EF7}" uniqueName="5" name="total_amoun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6F59-2350-4221-8F60-C699D1912888}">
  <dimension ref="A3:B12"/>
  <sheetViews>
    <sheetView tabSelected="1" workbookViewId="0">
      <selection activeCell="L9" sqref="L9"/>
    </sheetView>
  </sheetViews>
  <sheetFormatPr defaultRowHeight="14.5" x14ac:dyDescent="0.35"/>
  <cols>
    <col min="1" max="1" width="12.36328125" bestFit="1" customWidth="1"/>
    <col min="2" max="2" width="21.1796875" bestFit="1" customWidth="1"/>
  </cols>
  <sheetData>
    <row r="3" spans="1:2" x14ac:dyDescent="0.35">
      <c r="A3" s="3" t="s">
        <v>9</v>
      </c>
      <c r="B3" t="s">
        <v>19</v>
      </c>
    </row>
    <row r="4" spans="1:2" x14ac:dyDescent="0.35">
      <c r="A4" s="4" t="s">
        <v>11</v>
      </c>
      <c r="B4">
        <v>2450</v>
      </c>
    </row>
    <row r="5" spans="1:2" x14ac:dyDescent="0.35">
      <c r="A5" s="4" t="s">
        <v>12</v>
      </c>
      <c r="B5">
        <v>2500</v>
      </c>
    </row>
    <row r="6" spans="1:2" x14ac:dyDescent="0.35">
      <c r="A6" s="4" t="s">
        <v>13</v>
      </c>
      <c r="B6">
        <v>3900</v>
      </c>
    </row>
    <row r="7" spans="1:2" x14ac:dyDescent="0.35">
      <c r="A7" s="4" t="s">
        <v>14</v>
      </c>
      <c r="B7">
        <v>4000</v>
      </c>
    </row>
    <row r="8" spans="1:2" x14ac:dyDescent="0.35">
      <c r="A8" s="4" t="s">
        <v>15</v>
      </c>
      <c r="B8">
        <v>4050</v>
      </c>
    </row>
    <row r="9" spans="1:2" x14ac:dyDescent="0.35">
      <c r="A9" s="4" t="s">
        <v>16</v>
      </c>
      <c r="B9">
        <v>5800</v>
      </c>
    </row>
    <row r="10" spans="1:2" x14ac:dyDescent="0.35">
      <c r="A10" s="4" t="s">
        <v>17</v>
      </c>
      <c r="B10">
        <v>2050</v>
      </c>
    </row>
    <row r="11" spans="1:2" x14ac:dyDescent="0.35">
      <c r="A11" s="4" t="s">
        <v>18</v>
      </c>
      <c r="B11">
        <v>3800</v>
      </c>
    </row>
    <row r="12" spans="1:2" x14ac:dyDescent="0.35">
      <c r="A12" s="4" t="s">
        <v>10</v>
      </c>
      <c r="B12">
        <v>28550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0ED0-7B9B-4463-B9CF-371C89E3765D}">
  <dimension ref="A3:D21"/>
  <sheetViews>
    <sheetView workbookViewId="0">
      <selection activeCell="A20" sqref="A20:D21"/>
    </sheetView>
  </sheetViews>
  <sheetFormatPr defaultRowHeight="14.5" x14ac:dyDescent="0.35"/>
  <cols>
    <col min="1" max="1" width="17.54296875" customWidth="1"/>
    <col min="2" max="2" width="23.26953125" customWidth="1"/>
    <col min="3" max="3" width="24" customWidth="1"/>
    <col min="4" max="4" width="28.6328125" customWidth="1"/>
  </cols>
  <sheetData>
    <row r="3" spans="1:2" x14ac:dyDescent="0.35">
      <c r="A3" s="3" t="s">
        <v>9</v>
      </c>
      <c r="B3" t="s">
        <v>20</v>
      </c>
    </row>
    <row r="4" spans="1:2" x14ac:dyDescent="0.35">
      <c r="A4" s="4" t="s">
        <v>5</v>
      </c>
      <c r="B4">
        <v>14100</v>
      </c>
    </row>
    <row r="5" spans="1:2" x14ac:dyDescent="0.35">
      <c r="A5" s="4" t="s">
        <v>6</v>
      </c>
      <c r="B5">
        <v>7250</v>
      </c>
    </row>
    <row r="6" spans="1:2" x14ac:dyDescent="0.35">
      <c r="A6" s="4" t="s">
        <v>7</v>
      </c>
      <c r="B6">
        <v>4300</v>
      </c>
    </row>
    <row r="7" spans="1:2" x14ac:dyDescent="0.35">
      <c r="A7" s="4" t="s">
        <v>8</v>
      </c>
      <c r="B7">
        <v>2900</v>
      </c>
    </row>
    <row r="8" spans="1:2" x14ac:dyDescent="0.35">
      <c r="A8" s="4" t="s">
        <v>10</v>
      </c>
      <c r="B8">
        <v>28550</v>
      </c>
    </row>
    <row r="20" spans="1:4" ht="15.5" x14ac:dyDescent="0.35">
      <c r="A20" s="5" t="s">
        <v>21</v>
      </c>
      <c r="B20" s="5" t="s">
        <v>22</v>
      </c>
      <c r="C20" s="5" t="s">
        <v>23</v>
      </c>
      <c r="D20" s="5" t="s">
        <v>24</v>
      </c>
    </row>
    <row r="21" spans="1:4" ht="15.5" x14ac:dyDescent="0.35">
      <c r="A21" s="7">
        <v>28550</v>
      </c>
      <c r="B21" s="6">
        <f>COUNT('e-commerce order analysis'!A:A)</f>
        <v>30</v>
      </c>
      <c r="C21" s="6">
        <f>SUM('e-commerce order analysis'!E:E) / COUNT('e-commerce order analysis'!A:A)</f>
        <v>951.66666666666663</v>
      </c>
      <c r="D21" s="6">
        <v>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6481-BB86-42EE-9D30-B453535684F2}">
  <dimension ref="A1:E31"/>
  <sheetViews>
    <sheetView workbookViewId="0">
      <selection activeCell="B2" sqref="B2:B31"/>
    </sheetView>
  </sheetViews>
  <sheetFormatPr defaultRowHeight="14.5" x14ac:dyDescent="0.35"/>
  <cols>
    <col min="1" max="1" width="19.90625" customWidth="1"/>
    <col min="2" max="2" width="24.1796875" customWidth="1"/>
    <col min="3" max="3" width="23.36328125" customWidth="1"/>
    <col min="4" max="4" width="24.08984375" customWidth="1"/>
    <col min="5" max="5" width="2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</v>
      </c>
      <c r="B2" s="1">
        <v>101</v>
      </c>
      <c r="C2" s="2">
        <v>45296</v>
      </c>
      <c r="D2" s="1" t="s">
        <v>5</v>
      </c>
      <c r="E2" s="1">
        <v>1200</v>
      </c>
    </row>
    <row r="3" spans="1:5" x14ac:dyDescent="0.35">
      <c r="A3" s="1">
        <v>2</v>
      </c>
      <c r="B3" s="1">
        <v>102</v>
      </c>
      <c r="C3" s="2">
        <v>45301</v>
      </c>
      <c r="D3" s="1" t="s">
        <v>6</v>
      </c>
      <c r="E3" s="1">
        <v>800</v>
      </c>
    </row>
    <row r="4" spans="1:5" x14ac:dyDescent="0.35">
      <c r="A4" s="1">
        <v>3</v>
      </c>
      <c r="B4" s="1">
        <v>103</v>
      </c>
      <c r="C4" s="2">
        <v>45303</v>
      </c>
      <c r="D4" s="1" t="s">
        <v>7</v>
      </c>
      <c r="E4" s="1">
        <v>450</v>
      </c>
    </row>
    <row r="5" spans="1:5" x14ac:dyDescent="0.35">
      <c r="A5" s="1">
        <v>4</v>
      </c>
      <c r="B5" s="1">
        <v>101</v>
      </c>
      <c r="C5" s="2">
        <v>45324</v>
      </c>
      <c r="D5" s="1" t="s">
        <v>5</v>
      </c>
      <c r="E5" s="1">
        <v>1500</v>
      </c>
    </row>
    <row r="6" spans="1:5" x14ac:dyDescent="0.35">
      <c r="A6" s="1">
        <v>5</v>
      </c>
      <c r="B6" s="1">
        <v>104</v>
      </c>
      <c r="C6" s="2">
        <v>45327</v>
      </c>
      <c r="D6" s="1" t="s">
        <v>6</v>
      </c>
      <c r="E6" s="1">
        <v>700</v>
      </c>
    </row>
    <row r="7" spans="1:5" x14ac:dyDescent="0.35">
      <c r="A7" s="1">
        <v>6</v>
      </c>
      <c r="B7" s="1">
        <v>105</v>
      </c>
      <c r="C7" s="2">
        <v>45332</v>
      </c>
      <c r="D7" s="1" t="s">
        <v>8</v>
      </c>
      <c r="E7" s="1">
        <v>300</v>
      </c>
    </row>
    <row r="8" spans="1:5" x14ac:dyDescent="0.35">
      <c r="A8" s="1">
        <v>7</v>
      </c>
      <c r="B8" s="1">
        <v>102</v>
      </c>
      <c r="C8" s="2">
        <v>45352</v>
      </c>
      <c r="D8" s="1" t="s">
        <v>5</v>
      </c>
      <c r="E8" s="1">
        <v>2000</v>
      </c>
    </row>
    <row r="9" spans="1:5" x14ac:dyDescent="0.35">
      <c r="A9" s="1">
        <v>8</v>
      </c>
      <c r="B9" s="1">
        <v>106</v>
      </c>
      <c r="C9" s="2">
        <v>45356</v>
      </c>
      <c r="D9" s="1" t="s">
        <v>7</v>
      </c>
      <c r="E9" s="1">
        <v>600</v>
      </c>
    </row>
    <row r="10" spans="1:5" x14ac:dyDescent="0.35">
      <c r="A10" s="1">
        <v>9</v>
      </c>
      <c r="B10" s="1">
        <v>107</v>
      </c>
      <c r="C10" s="2">
        <v>45363</v>
      </c>
      <c r="D10" s="1" t="s">
        <v>6</v>
      </c>
      <c r="E10" s="1">
        <v>900</v>
      </c>
    </row>
    <row r="11" spans="1:5" x14ac:dyDescent="0.35">
      <c r="A11" s="1">
        <v>10</v>
      </c>
      <c r="B11" s="1">
        <v>101</v>
      </c>
      <c r="C11" s="2">
        <v>45371</v>
      </c>
      <c r="D11" s="1" t="s">
        <v>8</v>
      </c>
      <c r="E11" s="1">
        <v>400</v>
      </c>
    </row>
    <row r="12" spans="1:5" x14ac:dyDescent="0.35">
      <c r="A12" s="1">
        <v>11</v>
      </c>
      <c r="B12" s="1">
        <v>108</v>
      </c>
      <c r="C12" s="2">
        <v>45383</v>
      </c>
      <c r="D12" s="1" t="s">
        <v>5</v>
      </c>
      <c r="E12" s="1">
        <v>1800</v>
      </c>
    </row>
    <row r="13" spans="1:5" x14ac:dyDescent="0.35">
      <c r="A13" s="1">
        <v>12</v>
      </c>
      <c r="B13" s="1">
        <v>109</v>
      </c>
      <c r="C13" s="2">
        <v>45387</v>
      </c>
      <c r="D13" s="1" t="s">
        <v>7</v>
      </c>
      <c r="E13" s="1">
        <v>750</v>
      </c>
    </row>
    <row r="14" spans="1:5" x14ac:dyDescent="0.35">
      <c r="A14" s="1">
        <v>13</v>
      </c>
      <c r="B14" s="1">
        <v>110</v>
      </c>
      <c r="C14" s="2">
        <v>45392</v>
      </c>
      <c r="D14" s="1" t="s">
        <v>6</v>
      </c>
      <c r="E14" s="1">
        <v>950</v>
      </c>
    </row>
    <row r="15" spans="1:5" x14ac:dyDescent="0.35">
      <c r="A15" s="1">
        <v>14</v>
      </c>
      <c r="B15" s="1">
        <v>103</v>
      </c>
      <c r="C15" s="2">
        <v>45397</v>
      </c>
      <c r="D15" s="1" t="s">
        <v>8</v>
      </c>
      <c r="E15" s="1">
        <v>500</v>
      </c>
    </row>
    <row r="16" spans="1:5" x14ac:dyDescent="0.35">
      <c r="A16" s="1">
        <v>15</v>
      </c>
      <c r="B16" s="1">
        <v>102</v>
      </c>
      <c r="C16" s="2">
        <v>45414</v>
      </c>
      <c r="D16" s="1" t="s">
        <v>5</v>
      </c>
      <c r="E16" s="1">
        <v>2200</v>
      </c>
    </row>
    <row r="17" spans="1:5" x14ac:dyDescent="0.35">
      <c r="A17" s="1">
        <v>16</v>
      </c>
      <c r="B17" s="1">
        <v>111</v>
      </c>
      <c r="C17" s="2">
        <v>45418</v>
      </c>
      <c r="D17" s="1" t="s">
        <v>7</v>
      </c>
      <c r="E17" s="1">
        <v>650</v>
      </c>
    </row>
    <row r="18" spans="1:5" x14ac:dyDescent="0.35">
      <c r="A18" s="1">
        <v>17</v>
      </c>
      <c r="B18" s="1">
        <v>104</v>
      </c>
      <c r="C18" s="2">
        <v>45422</v>
      </c>
      <c r="D18" s="1" t="s">
        <v>8</v>
      </c>
      <c r="E18" s="1">
        <v>350</v>
      </c>
    </row>
    <row r="19" spans="1:5" x14ac:dyDescent="0.35">
      <c r="A19" s="1">
        <v>18</v>
      </c>
      <c r="B19" s="1">
        <v>105</v>
      </c>
      <c r="C19" s="2">
        <v>45427</v>
      </c>
      <c r="D19" s="1" t="s">
        <v>6</v>
      </c>
      <c r="E19" s="1">
        <v>850</v>
      </c>
    </row>
    <row r="20" spans="1:5" x14ac:dyDescent="0.35">
      <c r="A20" s="1">
        <v>19</v>
      </c>
      <c r="B20" s="1">
        <v>112</v>
      </c>
      <c r="C20" s="2">
        <v>45444</v>
      </c>
      <c r="D20" s="1" t="s">
        <v>5</v>
      </c>
      <c r="E20" s="1">
        <v>1700</v>
      </c>
    </row>
    <row r="21" spans="1:5" x14ac:dyDescent="0.35">
      <c r="A21" s="1">
        <v>20</v>
      </c>
      <c r="B21" s="1">
        <v>113</v>
      </c>
      <c r="C21" s="2">
        <v>45446</v>
      </c>
      <c r="D21" s="1" t="s">
        <v>7</v>
      </c>
      <c r="E21" s="1">
        <v>550</v>
      </c>
    </row>
    <row r="22" spans="1:5" x14ac:dyDescent="0.35">
      <c r="A22" s="1">
        <v>21</v>
      </c>
      <c r="B22" s="1">
        <v>101</v>
      </c>
      <c r="C22" s="2">
        <v>45453</v>
      </c>
      <c r="D22" s="1" t="s">
        <v>6</v>
      </c>
      <c r="E22" s="1">
        <v>1000</v>
      </c>
    </row>
    <row r="23" spans="1:5" x14ac:dyDescent="0.35">
      <c r="A23" s="1">
        <v>22</v>
      </c>
      <c r="B23" s="1">
        <v>114</v>
      </c>
      <c r="C23" s="2">
        <v>45455</v>
      </c>
      <c r="D23" s="1" t="s">
        <v>8</v>
      </c>
      <c r="E23" s="1">
        <v>450</v>
      </c>
    </row>
    <row r="24" spans="1:5" x14ac:dyDescent="0.35">
      <c r="A24" s="1">
        <v>23</v>
      </c>
      <c r="B24" s="1">
        <v>115</v>
      </c>
      <c r="C24" s="2">
        <v>45461</v>
      </c>
      <c r="D24" s="1" t="s">
        <v>5</v>
      </c>
      <c r="E24" s="1">
        <v>2100</v>
      </c>
    </row>
    <row r="25" spans="1:5" x14ac:dyDescent="0.35">
      <c r="A25" s="1">
        <v>24</v>
      </c>
      <c r="B25" s="1">
        <v>102</v>
      </c>
      <c r="C25" s="2">
        <v>45475</v>
      </c>
      <c r="D25" s="1" t="s">
        <v>7</v>
      </c>
      <c r="E25" s="1">
        <v>700</v>
      </c>
    </row>
    <row r="26" spans="1:5" x14ac:dyDescent="0.35">
      <c r="A26" s="1">
        <v>25</v>
      </c>
      <c r="B26" s="1">
        <v>103</v>
      </c>
      <c r="C26" s="2">
        <v>45478</v>
      </c>
      <c r="D26" s="1" t="s">
        <v>6</v>
      </c>
      <c r="E26" s="1">
        <v>950</v>
      </c>
    </row>
    <row r="27" spans="1:5" x14ac:dyDescent="0.35">
      <c r="A27" s="1">
        <v>26</v>
      </c>
      <c r="B27" s="1">
        <v>116</v>
      </c>
      <c r="C27" s="2">
        <v>45483</v>
      </c>
      <c r="D27" s="1" t="s">
        <v>8</v>
      </c>
      <c r="E27" s="1">
        <v>400</v>
      </c>
    </row>
    <row r="28" spans="1:5" x14ac:dyDescent="0.35">
      <c r="A28" s="1">
        <v>27</v>
      </c>
      <c r="B28" s="1">
        <v>104</v>
      </c>
      <c r="C28" s="2">
        <v>45505</v>
      </c>
      <c r="D28" s="1" t="s">
        <v>5</v>
      </c>
      <c r="E28" s="1">
        <v>1600</v>
      </c>
    </row>
    <row r="29" spans="1:5" x14ac:dyDescent="0.35">
      <c r="A29" s="1">
        <v>28</v>
      </c>
      <c r="B29" s="1">
        <v>105</v>
      </c>
      <c r="C29" s="2">
        <v>45509</v>
      </c>
      <c r="D29" s="1" t="s">
        <v>7</v>
      </c>
      <c r="E29" s="1">
        <v>600</v>
      </c>
    </row>
    <row r="30" spans="1:5" x14ac:dyDescent="0.35">
      <c r="A30" s="1">
        <v>29</v>
      </c>
      <c r="B30" s="1">
        <v>101</v>
      </c>
      <c r="C30" s="2">
        <v>45516</v>
      </c>
      <c r="D30" s="1" t="s">
        <v>6</v>
      </c>
      <c r="E30" s="1">
        <v>1100</v>
      </c>
    </row>
    <row r="31" spans="1:5" x14ac:dyDescent="0.35">
      <c r="A31" s="1">
        <v>30</v>
      </c>
      <c r="B31" s="1">
        <v>117</v>
      </c>
      <c r="C31" s="2">
        <v>45524</v>
      </c>
      <c r="D31" s="1" t="s">
        <v>8</v>
      </c>
      <c r="E31" s="1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03FA-F92E-4EE3-A45F-E9428362DF82}">
  <dimension ref="A1:H1"/>
  <sheetViews>
    <sheetView showGridLines="0" topLeftCell="A16" zoomScaleNormal="100" workbookViewId="0">
      <selection activeCell="I15" sqref="I15"/>
    </sheetView>
  </sheetViews>
  <sheetFormatPr defaultRowHeight="14.5" x14ac:dyDescent="0.35"/>
  <cols>
    <col min="1" max="8" width="8.7265625" style="8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88FF40-4DC6-4E54-AC78-48298FCC5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Category_Analysis</vt:lpstr>
      <vt:lpstr>e-commerce order analysis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rana</dc:creator>
  <cp:lastModifiedBy>Pramod kumar rana</cp:lastModifiedBy>
  <dcterms:created xsi:type="dcterms:W3CDTF">2026-02-19T06:01:53Z</dcterms:created>
  <dcterms:modified xsi:type="dcterms:W3CDTF">2026-02-23T07:44:22Z</dcterms:modified>
</cp:coreProperties>
</file>